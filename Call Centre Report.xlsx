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hidePivotFieldList="1"/>
  <mc:AlternateContent xmlns:mc="http://schemas.openxmlformats.org/markup-compatibility/2006">
    <mc:Choice Requires="x15">
      <x15ac:absPath xmlns:x15ac="http://schemas.microsoft.com/office/spreadsheetml/2010/11/ac" url="/Users/dheetigupta/Library/Containers/net.whatsapp.WhatsApp/Data/tmp/documents/09CB017B-7313-4D8C-9FED-70417092E611/"/>
    </mc:Choice>
  </mc:AlternateContent>
  <xr:revisionPtr revIDLastSave="0" documentId="8_{7B67E675-7765-224B-A4D0-9D878479C657}" xr6:coauthVersionLast="47" xr6:coauthVersionMax="47" xr10:uidLastSave="{00000000-0000-0000-0000-000000000000}"/>
  <bookViews>
    <workbookView xWindow="0" yWindow="660" windowWidth="29400" windowHeight="18460" xr2:uid="{26D4546B-D2A1-4444-8EAF-A6228F96F0C1}"/>
  </bookViews>
  <sheets>
    <sheet name="Customer Centre Report" sheetId="5" r:id="rId1"/>
    <sheet name="Data" sheetId="2" r:id="rId2"/>
    <sheet name="pivots" sheetId="6" r:id="rId3"/>
    <sheet name="Image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4" i="5" l="1"/>
  <c r="I19" i="6"/>
  <c r="I9" i="6"/>
  <c r="I13" i="6" s="1"/>
  <c r="I18" i="6" s="1"/>
  <c r="O29" i="5" s="1"/>
  <c r="I8" i="6"/>
  <c r="I12" i="6" s="1"/>
  <c r="I17" i="6" s="1"/>
  <c r="O28" i="5" s="1"/>
  <c r="I7" i="6"/>
  <c r="I16" i="6" s="1"/>
  <c r="O27" i="5" s="1"/>
  <c r="R15" i="5" a="1"/>
  <c r="R15" i="5"/>
  <c r="Q16" i="5" a="1"/>
  <c r="Q16" i="5"/>
  <c r="J42" i="6"/>
  <c r="F45" i="6" a="1"/>
  <c r="F45"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6" i="6" l="1"/>
  <c r="I47" i="6"/>
  <c r="I48" i="6"/>
  <c r="I49" i="6"/>
  <c r="I45" i="6"/>
  <c r="J46" i="6"/>
  <c r="J47" i="6"/>
  <c r="J48" i="6"/>
  <c r="J49" i="6"/>
  <c r="J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7D0C0C-5D5B-4599-BC48-62D126643A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0F9B92-5F3D-4F41-A3E6-BEC7A6D33B7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7F2DD0A6-9B6B-4D9A-9EB8-A8C5581E7E3F}"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<sst xmlns="http://schemas.openxmlformats.org/spreadsheetml/2006/main" count="3173" uniqueCount="1085">
  <si>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</si>
  <si>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</si>
  <si>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</si>
  <si>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</si>
  <si>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</si>
  <si>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</si>
  <si>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</si>
  <si>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</si>
  <si>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</si>
  <si>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</si>
  <si>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</si>
  <si>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</si>
  <si>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</si>
  <si>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</si>
  <si>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</si>
  <si>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</si>
  <si>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</si>
  <si>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</si>
  <si>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</si>
  <si>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</si>
  <si>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</si>
  <si>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</si>
  <si>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</si>
  <si>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</si>
  <si>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</si>
  <si>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</si>
  <si>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</si>
  <si>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</si>
  <si>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</si>
  <si>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</si>
  <si>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</si>
  <si>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</si>
  <si>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</si>
  <si>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</si>
  <si>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</si>
  <si>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</si>
  <si>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</si>
  <si>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</si>
  <si>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</si>
  <si>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</si>
  <si>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</si>
  <si>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</si>
  <si>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</si>
  <si>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</si>
  <si>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</si>
  <si>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</si>
  <si>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</si>
  <si>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</si>
  <si>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</si>
  <si>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</si>
  <si>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</si>
  <si>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</si>
  <si>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</si>
  <si>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</si>
  <si>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</si>
  <si>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</si>
  <si>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</si>
  <si>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</si>
  <si>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</si>
  <si>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</si>
  <si>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</si>
  <si>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</si>
  <si>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</si>
  <si>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</si>
  <si>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</si>
  <si>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</si>
  <si>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</si>
  <si>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</si>
  <si>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</si>
  <si>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</si>
  <si>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</si>
  <si>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</si>
  <si>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</si>
  <si>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</si>
  <si>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</si>
  <si>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</si>
  <si>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</si>
  <si>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</si>
  <si>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</si>
  <si>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</si>
  <si>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</si>
  <si>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</si>
  <si>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</si>
  <si>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</si>
  <si>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</si>
  <si>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</si>
  <si>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</si>
  <si>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</si>
  <si>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</si>
  <si>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</si>
  <si>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</si>
  <si>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</si>
  <si>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</si>
  <si>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</si>
  <si>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</si>
  <si>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</si>
  <si>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</si>
  <si>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</si>
  <si>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</si>
  <si>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</si>
  <si>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</si>
  <si>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</si>
  <si>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</si>
  <si>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</si>
  <si>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</si>
  <si>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</si>
  <si>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</si>
  <si>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</si>
  <si>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</si>
  <si>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</si>
  <si>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</si>
  <si>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</si>
  <si>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</si>
  <si>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</si>
  <si>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</si>
  <si>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</si>
  <si>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</si>
  <si>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</si>
  <si>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</si>
  <si>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</si>
  <si>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</si>
  <si>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</si>
  <si>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</si>
  <si>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</si>
  <si>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</si>
  <si>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</si>
  <si>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</si>
  <si>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</si>
  <si>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</si>
  <si>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</si>
  <si>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</si>
  <si>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</si>
  <si>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</si>
  <si>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</si>
  <si>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</si>
  <si>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</si>
  <si>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</si>
  <si>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</si>
  <si>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</si>
  <si>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</si>
  <si>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</si>
  <si>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</si>
  <si>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</si>
  <si>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</si>
  <si>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</si>
  <si>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</si>
  <si>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</si>
  <si>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</si>
  <si>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</si>
  <si>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</si>
  <si>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</si>
  <si>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</si>
  <si>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</si>
  <si>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</si>
  <si>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</si>
  <si>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</si>
  <si>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</si>
  <si>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</si>
  <si>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</si>
  <si>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</si>
  <si>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</si>
  <si>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</si>
  <si>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</si>
  <si>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</si>
  <si>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</si>
  <si>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</si>
  <si>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</si>
  <si>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</si>
  <si>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</si>
  <si>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</si>
  <si>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</si>
  <si>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</si>
  <si>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</si>
  <si>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</si>
  <si>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</si>
  <si>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</si>
  <si>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</si>
  <si>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</si>
  <si>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</si>
  <si>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</si>
  <si>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</si>
  <si>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</si>
  <si>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</si>
  <si>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</si>
  <si>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</si>
  <si>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</si>
  <si>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</si>
  <si>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</si>
  <si>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</si>
  <si>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</si>
  <si>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</si>
  <si>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</si>
  <si>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</si>
  <si>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</si>
  <si>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</si>
  <si>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</si>
  <si>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</si>
  <si>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</si>
  <si>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</si>
  <si>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</si>
  <si>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</si>
  <si>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</si>
  <si>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</si>
  <si>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</si>
  <si>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</si>
  <si>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</si>
  <si>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</si>
  <si>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</si>
  <si>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</si>
  <si>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</si>
  <si>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</si>
  <si>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</si>
  <si>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</si>
  <si>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</si>
  <si>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</si>
  <si>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</si>
  <si>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</si>
  <si>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</si>
  <si>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</si>
  <si>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</si>
  <si>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</si>
  <si>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</si>
  <si>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</si>
  <si>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</si>
  <si>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</si>
  <si>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</si>
  <si>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</si>
  <si>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</si>
  <si>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</si>
  <si>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</si>
  <si>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</si>
  <si>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</si>
  <si>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</si>
  <si>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</si>
  <si>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</si>
  <si>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</si>
  <si>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</si>
  <si>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</si>
  <si>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</si>
  <si>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</si>
  <si>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</si>
  <si>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</si>
  <si>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</si>
  <si>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</si>
  <si>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</si>
  <si>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</si>
  <si>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</si>
  <si>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</si>
  <si>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</si>
  <si>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</si>
  <si>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</si>
  <si>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</si>
  <si>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</si>
  <si>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</si>
  <si>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</si>
  <si>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</si>
  <si>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</si>
  <si>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</si>
  <si>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</si>
  <si>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</si>
  <si>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</si>
  <si>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</si>
  <si>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</si>
  <si>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</si>
  <si>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</si>
  <si>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</si>
  <si>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</si>
  <si>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</si>
  <si>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</si>
  <si>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</si>
  <si>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</si>
  <si>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</si>
  <si>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</si>
  <si>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</si>
  <si>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</si>
  <si>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</si>
  <si>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</si>
  <si>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</si>
  <si>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</si>
  <si>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</si>
  <si>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</si>
  <si>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</si>
  <si>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</si>
  <si>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</si>
  <si>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</si>
  <si>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</si>
  <si>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</si>
  <si>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</si>
  <si>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</si>
  <si>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</si>
  <si>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</si>
  <si>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</si>
  <si>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</si>
  <si>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</si>
  <si>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</si>
  <si>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</si>
  <si>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</si>
  <si>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</si>
  <si>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</si>
  <si>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</si>
  <si>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</si>
  <si>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</si>
  <si>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</si>
  <si>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</si>
  <si>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</si>
  <si>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</si>
  <si>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</si>
  <si>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</si>
  <si>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</si>
  <si>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</si>
  <si>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</si>
  <si>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</si>
  <si>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</si>
  <si>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</si>
  <si>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</si>
  <si>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</si>
  <si>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</si>
  <si>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</si>
  <si>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</si>
  <si>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</si>
  <si>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</si>
  <si>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</si>
  <si>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</si>
  <si>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</si>
  <si>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</si>
  <si>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</si>
  <si>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</si>
  <si>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</si>
  <si>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</si>
  <si>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</si>
  <si>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</si>
  <si>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</si>
  <si>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</si>
  <si>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</si>
  <si>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</si>
  <si>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</si>
  <si>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</si>
  <si>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</si>
  <si>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</si>
  <si>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</si>
  <si>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</si>
  <si>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</si>
  <si>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</si>
  <si>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</si>
  <si>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</si>
  <si>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</si>
  <si>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</si>
  <si>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</si>
  <si>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</si>
  <si>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</si>
  <si>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</si>
  <si>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</si>
  <si>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</si>
  <si>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</si>
  <si>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</si>
  <si>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</si>
  <si>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</si>
  <si>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</si>
  <si>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</si>
  <si>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</si>
  <si>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</si>
  <si>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</si>
  <si>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</si>
  <si>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</si>
  <si>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</si>
  <si>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</si>
  <si>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</si>
  <si>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</si>
  <si>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</si>
  <si>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</si>
  <si>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</si>
  <si>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</si>
  <si>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</si>
  <si>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</si>
  <si>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</si>
  <si>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</si>
  <si>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</si>
  <si>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</si>
  <si>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</si>
  <si>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</si>
  <si>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</si>
  <si>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</si>
  <si>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</si>
  <si>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</si>
  <si>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</si>
  <si>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</si>
  <si>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</si>
  <si>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</si>
  <si>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</si>
  <si>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</si>
  <si>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</si>
  <si>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</si>
  <si>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</si>
  <si>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</si>
  <si>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</si>
  <si>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</si>
  <si>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</si>
  <si>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</si>
  <si>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</si>
  <si>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</si>
  <si>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</si>
  <si>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</si>
  <si>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</si>
  <si>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</si>
  <si>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</si>
  <si>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</si>
  <si>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</si>
  <si>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</si>
  <si>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</si>
  <si>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</si>
  <si>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</si>
  <si>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</si>
  <si>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</si>
  <si>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</si>
  <si>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</si>
  <si>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</si>
  <si>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</si>
  <si>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</si>
  <si>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</si>
  <si>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</si>
  <si>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</si>
  <si>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</si>
  <si>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</si>
  <si>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</si>
  <si>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</si>
  <si>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</si>
  <si>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</si>
  <si>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</si>
  <si>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</si>
  <si>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</si>
  <si>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</si>
  <si>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</si>
  <si>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</si>
  <si>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</si>
  <si>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</si>
  <si>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</si>
  <si>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</si>
  <si>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</si>
  <si>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</si>
  <si>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</si>
  <si>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</si>
  <si>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</si>
  <si>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</si>
  <si>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</si>
  <si>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</si>
  <si>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</si>
  <si>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</si>
  <si>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</si>
  <si>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</si>
  <si>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</si>
  <si>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</si>
  <si>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</si>
  <si>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</si>
  <si>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</si>
  <si>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</si>
  <si>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</si>
  <si>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</si>
  <si>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</si>
  <si>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</si>
  <si>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</si>
  <si>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</si>
  <si>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</si>
  <si>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</si>
  <si>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</si>
  <si>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</si>
  <si>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</si>
  <si>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</si>
  <si>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</si>
  <si>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</si>
  <si>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</si>
  <si>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</si>
  <si>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</si>
  <si>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</si>
  <si>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</si>
  <si>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</si>
  <si>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</si>
  <si>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</si>
  <si>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</si>
  <si>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</si>
  <si>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</si>
  <si>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</si>
  <si>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</si>
  <si>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</si>
  <si>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</si>
  <si>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</si>
  <si>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</si>
  <si>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</si>
  <si>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</si>
  <si>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</si>
  <si>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</si>
  <si>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</si>
  <si>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</si>
  <si>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</si>
  <si>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</si>
  <si>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</si>
  <si>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</si>
  <si>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</si>
  <si>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</si>
  <si>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</si>
  <si>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</si>
  <si>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</si>
  <si>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</si>
  <si>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</si>
  <si>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</si>
  <si>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</si>
  <si>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</si>
  <si>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</si>
  <si>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</si>
  <si>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</si>
  <si>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</si>
  <si>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</si>
  <si>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</si>
  <si>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</si>
  <si>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</si>
  <si>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</si>
  <si>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</si>
  <si>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</si>
  <si>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</si>
  <si>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</si>
  <si>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</si>
  <si>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</si>
  <si>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</si>
  <si>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</si>
  <si>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</si>
  <si>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</si>
  <si>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</si>
  <si>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</si>
  <si>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</si>
  <si>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</si>
  <si>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</si>
  <si>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</si>
  <si>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</si>
  <si>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</si>
  <si>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</si>
  <si>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</si>
  <si>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</si>
  <si>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</si>
  <si>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</si>
  <si>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</si>
  <si>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</si>
  <si>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</si>
  <si>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</si>
  <si>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</si>
  <si>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</si>
  <si>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</si>
  <si>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</si>
  <si>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</si>
  <si>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</si>
  <si>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</si>
  <si>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</si>
  <si>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</si>
  <si>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</si>
  <si>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</si>
  <si>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</si>
  <si>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</si>
  <si>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</si>
  <si>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</si>
  <si>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</si>
  <si>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</si>
  <si>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</si>
  <si>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</si>
  <si>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</si>
  <si>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</si>
  <si>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</si>
  <si>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</si>
  <si>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</si>
  <si>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</si>
  <si>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</si>
  <si>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</si>
  <si>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</si>
  <si>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</si>
  <si>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</si>
  <si>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</si>
  <si>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</si>
  <si>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</si>
  <si>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</si>
  <si>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</si>
  <si>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</si>
  <si>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</si>
  <si>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</si>
  <si>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</si>
  <si>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</si>
  <si>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</si>
  <si>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</si>
  <si>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</si>
  <si>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</si>
  <si>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</si>
  <si>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</si>
  <si>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</si>
  <si>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</si>
  <si>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</si>
  <si>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</si>
  <si>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</si>
  <si>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</si>
  <si>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</si>
  <si>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</si>
  <si>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</si>
  <si>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</si>
  <si>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</si>
  <si>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</si>
  <si>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</si>
  <si>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</si>
  <si>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</si>
  <si>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</si>
  <si>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</si>
  <si>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</si>
  <si>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</si>
  <si>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</si>
  <si>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</si>
  <si>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</si>
  <si>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</si>
  <si>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</si>
  <si>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</si>
  <si>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</si>
  <si>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</si>
  <si>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</si>
  <si>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</si>
  <si>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</si>
  <si>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</si>
  <si>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</si>
  <si>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</si>
  <si>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</si>
  <si>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</si>
  <si>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</si>
  <si>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</si>
  <si>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</si>
  <si>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</si>
  <si>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</si>
  <si>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</si>
  <si>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</si>
  <si>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</si>
  <si>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</si>
  <si>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</si>
  <si>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</si>
  <si>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</si>
  <si>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</si>
  <si>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</si>
  <si>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</si>
  <si>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</si>
  <si>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</si>
  <si>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</si>
  <si>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</si>
  <si>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</si>
  <si>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</si>
  <si>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</si>
  <si>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</si>
  <si>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</si>
  <si>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</si>
  <si>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</si>
  <si>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</si>
  <si>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</si>
  <si>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</si>
  <si>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</si>
  <si>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</si>
  <si>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</si>
  <si>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</si>
  <si>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</si>
  <si>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</si>
  <si>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</si>
  <si>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</si>
  <si>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</si>
  <si>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</si>
  <si>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</si>
  <si>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</si>
  <si>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</si>
  <si>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</si>
  <si>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</si>
  <si>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</si>
  <si>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</si>
  <si>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</si>
  <si>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</si>
  <si>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</si>
  <si>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</si>
  <si>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</si>
  <si>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</si>
  <si>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</si>
  <si>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</si>
  <si>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</si>
  <si>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</si>
  <si>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</si>
  <si>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</si>
  <si>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</si>
  <si>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</si>
  <si>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</si>
  <si>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</si>
  <si>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</si>
  <si>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</si>
  <si>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</si>
  <si>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</si>
  <si>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</si>
  <si>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</si>
  <si>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</si>
  <si>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</si>
  <si>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</si>
  <si>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</si>
  <si>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</si>
  <si>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</si>
  <si>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</si>
  <si>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</si>
  <si>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</si>
  <si>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</si>
  <si>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</si>
  <si>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</si>
  <si>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</si>
  <si>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</si>
  <si>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</si>
  <si>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</si>
  <si>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</si>
  <si>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</si>
  <si>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</si>
  <si>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</si>
  <si>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</si>
  <si>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</si>
  <si>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</si>
  <si>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</si>
  <si>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</si>
  <si>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</si>
  <si>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</si>
  <si>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</si>
  <si>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</si>
  <si>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</si>
  <si>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</si>
  <si>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</si>
  <si>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</si>
  <si>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</si>
  <si>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</si>
  <si>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</si>
  <si>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</si>
  <si>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</si>
  <si>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</si>
  <si>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</si>
  <si>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</si>
  <si>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</si>
  <si>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</si>
  <si>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</si>
  <si>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</si>
  <si>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</si>
  <si>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</si>
  <si>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</si>
  <si>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</si>
  <si>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</si>
  <si>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</si>
  <si>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</si>
  <si>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</si>
  <si>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</si>
  <si>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</si>
  <si>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</si>
  <si>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</si>
  <si>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</si>
  <si>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</si>
  <si>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</si>
  <si>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</si>
  <si>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</si>
  <si>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</si>
  <si>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</si>
  <si>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</si>
  <si>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</si>
  <si>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</si>
  <si>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</si>
  <si>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</si>
  <si>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</si>
  <si>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</si>
  <si>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</si>
  <si>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</si>
  <si>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</si>
  <si>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</si>
  <si>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</si>
  <si>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</si>
  <si>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</si>
  <si>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</si>
  <si>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</si>
  <si>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</si>
  <si>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</si>
  <si>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</si>
  <si>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</si>
  <si>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</si>
  <si>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</si>
  <si>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</si>
  <si>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</si>
  <si>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</si>
  <si>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</si>
  <si>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</si>
  <si>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</si>
  <si>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</si>
  <si>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</si>
  <si>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</si>
  <si>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</si>
  <si>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</si>
  <si>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</si>
  <si>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</si>
  <si>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</si>
  <si>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</si>
  <si>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</si>
  <si>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</si>
  <si>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</si>
  <si>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</si>
  <si>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</si>
  <si>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</si>
  <si>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</si>
  <si>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</si>
  <si>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</si>
  <si>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</si>
  <si>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</si>
  <si>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</si>
  <si>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</si>
  <si>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</si>
  <si>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</si>
  <si>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</si>
  <si>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</si>
  <si>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</si>
  <si>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</si>
  <si>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</si>
  <si>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</si>
  <si>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</si>
  <si>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</si>
  <si>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</si>
  <si>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</si>
  <si>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</si>
  <si>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</si>
  <si>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</si>
  <si>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</si>
  <si>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</si>
  <si>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</si>
  <si>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</si>
  <si>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</si>
  <si>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</si>
  <si>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</si>
  <si>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</si>
  <si>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</si>
  <si>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</si>
  <si>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</si>
  <si>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</si>
  <si>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</si>
  <si>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</si>
  <si>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</si>
  <si>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</si>
  <si>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</si>
  <si>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</si>
  <si>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</si>
  <si>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</si>
  <si>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</si>
  <si>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</si>
  <si>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</si>
  <si>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</si>
  <si>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</si>
  <si>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</si>
  <si>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</si>
  <si>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</si>
  <si>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</si>
  <si>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</si>
  <si>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</si>
  <si>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</si>
  <si>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</si>
  <si>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</si>
  <si>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</si>
  <si>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</si>
  <si>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</si>
  <si>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</si>
  <si>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</si>
  <si>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</si>
  <si>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</si>
  <si>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</si>
  <si>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</si>
  <si>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</si>
  <si>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</si>
  <si>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</si>
  <si>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</si>
  <si>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</si>
  <si>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</si>
  <si>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</si>
  <si>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</si>
  <si>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</si>
  <si>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</si>
  <si>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</si>
  <si>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</si>
  <si>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</si>
  <si>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</si>
  <si>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</si>
  <si>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</si>
  <si>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</si>
  <si>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</si>
  <si>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</si>
  <si>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</si>
  <si>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</si>
  <si>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</si>
  <si>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</si>
  <si>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</si>
  <si>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</si>
  <si>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</si>
  <si>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</si>
  <si>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</si>
  <si>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</si>
  <si>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</si>
  <si>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</si>
  <si>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</si>
  <si>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</si>
  <si>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</si>
  <si>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</si>
  <si>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</si>
  <si>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</si>
  <si>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</si>
  <si>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</si>
  <si>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</si>
  <si>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</si>
  <si>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</si>
  <si>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</si>
  <si>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</si>
  <si>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</si>
  <si>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</si>
  <si>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</si>
  <si>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</si>
  <si>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</si>
  <si>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</si>
  <si>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</si>
  <si>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</si>
  <si>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</si>
  <si>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</si>
  <si>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</si>
  <si>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</si>
  <si>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</si>
  <si>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</si>
  <si>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</si>
  <si>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</si>
  <si>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</si>
  <si>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</si>
  <si>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</si>
  <si>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</si>
  <si>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</si>
  <si>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</si>
  <si>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</si>
  <si>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</si>
  <si>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</si>
  <si>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</si>
  <si>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</si>
  <si>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</si>
  <si>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</si>
  <si>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</si>
  <si>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</si>
  <si>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</si>
  <si>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</si>
  <si>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</si>
  <si>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</si>
  <si>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</si>
  <si>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</si>
  <si>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</si>
  <si>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</si>
  <si>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</si>
  <si>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</si>
  <si>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</si>
  <si>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</si>
  <si>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</si>
  <si>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</si>
  <si>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</si>
  <si>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</si>
  <si>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</si>
  <si>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</si>
  <si>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</si>
  <si>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</si>
  <si>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</si>
  <si>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</si>
  <si>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</si>
  <si>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</si>
  <si>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</si>
  <si>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</si>
  <si>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</si>
  <si>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</si>
  <si>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</si>
  <si>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</si>
  <si>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</si>
  <si>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</si>
  <si>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</si>
  <si>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</si>
  <si>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</si>
  <si>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</si>
  <si>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</si>
  <si>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</si>
  <si>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</si>
  <si>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</si>
  <si>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</si>
  <si>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</si>
  <si>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</si>
  <si>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</si>
  <si>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</si>
  <si>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</si>
  <si>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</si>
  <si>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</si>
  <si>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</si>
  <si>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</si>
  <si>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</si>
  <si>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</si>
  <si>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</si>
  <si>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</si>
  <si>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</si>
  <si>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</si>
  <si>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</si>
  <si>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</si>
  <si>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</si>
  <si>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</si>
  <si>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</si>
  <si>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</si>
  <si>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</si>
  <si>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</si>
  <si>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</si>
  <si>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</si>
  <si>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</si>
  <si>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</si>
  <si>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</si>
  <si>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</si>
  <si>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</si>
  <si>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</si>
  <si>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</si>
  <si>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</si>
  <si>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</si>
  <si>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</si>
  <si>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</si>
  <si>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</si>
  <si>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</si>
  <si>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</si>
  <si>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</si>
  <si>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</si>
  <si>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</si>
  <si>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</si>
  <si>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</si>
  <si>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</si>
  <si>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</si>
  <si>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</si>
  <si>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</si>
  <si>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</si>
  <si>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</si>
  <si>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</si>
  <si>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</si>
  <si>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</si>
  <si>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</si>
  <si>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</si>
  <si>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</si>
  <si>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</si>
  <si>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</si>
  <si>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</si>
  <si>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</si>
  <si>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</si>
  <si>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</si>
  <si>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</si>
  <si>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</si>
  <si>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</si>
  <si>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</si>
  <si>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</si>
  <si>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</si>
  <si>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</si>
  <si>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</si>
  <si>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</si>
  <si>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</si>
  <si>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</si>
  <si>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</si>
  <si>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</si>
  <si>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</si>
  <si>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</si>
  <si>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</si>
  <si>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</si>
  <si>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</si>
  <si>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</si>
  <si>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</si>
  <si>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</si>
  <si>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</si>
  <si>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</si>
  <si>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</si>
  <si>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</si>
  <si>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</si>
  <si>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</si>
  <si>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</si>
  <si>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</si>
  <si>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</si>
  <si>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</si>
  <si>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</si>
  <si>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</si>
  <si>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</si>
  <si>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</si>
  <si>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</si>
  <si>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</si>
  <si>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</si>
  <si>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</si>
  <si>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</si>
  <si>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</si>
  <si>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</si>
  <si>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Image:</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</si>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</sst>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0"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1"/>
      <color theme="1"/>
      <name val="Aptos Narrow"/>
      <family val="2"/>
      <scheme val="minor"/>
    </font>
    <font>
      <sz val="10"/>
      <color theme="1"/>
      <name val="Aptos Narrow"/>
      <family val="2"/>
      <scheme val="minor"/>
    </font>
    <font>
      <b/>
      <sz val="10"/>
      <color theme="1"/>
      <name val="Aptos Narrow"/>
      <family val="2"/>
      <scheme val="minor"/>
    </font>
    <font>
      <sz val="10"/>
      <color theme="0" tint="-0.34998626667073579"/>
      <name val="Aptos Narrow"/>
      <family val="2"/>
      <scheme val="minor"/>
    </font>
    <font>
      <sz val="18"/>
      <color theme="1"/>
      <name val="Aptos Narrow"/>
      <family val="2"/>
      <scheme val="minor"/>
    </font>
    <font>
      <b/>
      <sz val="22"/>
      <color theme="1"/>
      <name val="Aptos Narrow"/>
      <family val="2"/>
      <scheme val="minor"/>
    </font>
  </fonts>
  <fills count="6">
    <fill>
      <patternFill patternType="none"/>
    </fill>
    <fill>
      <patternFill patternType="gray125"/>
    </fill>
    <fill>
      <patternFill patternType="solid">
        <fgColor theme="7"/>
        <bgColor indexed="64"/>
      </patternFill>
    </fill>
    <fill>
      <patternFill patternType="solid">
        <fgColor rgb="FFEAEAEA"/>
        <bgColor indexed="64"/>
      </patternFill>
    </fill>
    <fill>
      <patternFill patternType="solid">
        <fgColor theme="8"/>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4" fillId="0" borderId="0" applyFont="0" applyFill="0" applyBorder="0" applyAlignment="0" applyProtection="0"/>
  </cellStyleXfs>
  <cellXfs count="5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 fontId="0" fillId="0" borderId="0" xfId="0" applyNumberFormat="1"/>
    <xf numFmtId="0" fontId="0" fillId="0" borderId="0" xfId="0" applyAlignment="1">
      <alignment horizontal="left" indent="1"/>
    </xf>
    <xf numFmtId="0" fontId="0" fillId="5" borderId="0" xfId="0" applyFill="1"/>
    <xf numFmtId="0" fontId="5" fillId="5" borderId="0" xfId="0" applyFont="1" applyFill="1"/>
    <xf numFmtId="0" fontId="5" fillId="5" borderId="0" xfId="0" applyFont="1" applyFill="1" applyAlignment="1">
      <alignment horizontal="left" indent="1"/>
    </xf>
    <xf numFmtId="168" fontId="5" fillId="5" borderId="0" xfId="0" applyNumberFormat="1" applyFont="1" applyFill="1"/>
    <xf numFmtId="0" fontId="1" fillId="5" borderId="0" xfId="0" applyFont="1" applyFill="1"/>
    <xf numFmtId="0" fontId="6" fillId="5" borderId="0" xfId="0" applyFont="1" applyFill="1"/>
    <xf numFmtId="9" fontId="0" fillId="0" borderId="0" xfId="1" applyFont="1"/>
    <xf numFmtId="1" fontId="0" fillId="0" borderId="0" xfId="1" applyNumberFormat="1" applyFont="1"/>
    <xf numFmtId="0" fontId="0" fillId="3" borderId="0" xfId="0" applyFill="1" applyAlignment="1">
      <alignment horizontal="right"/>
    </xf>
    <xf numFmtId="0" fontId="8" fillId="3" borderId="0" xfId="0" applyFont="1" applyFill="1"/>
    <xf numFmtId="0" fontId="8" fillId="0" borderId="0" xfId="0" applyFont="1"/>
    <xf numFmtId="0" fontId="8" fillId="3" borderId="0" xfId="0" applyFont="1" applyFill="1" applyAlignment="1">
      <alignment vertical="center"/>
    </xf>
    <xf numFmtId="0" fontId="9" fillId="3" borderId="0" xfId="0" applyFont="1" applyFill="1" applyAlignment="1">
      <alignment horizontal="left" vertical="center"/>
    </xf>
    <xf numFmtId="0" fontId="7" fillId="3" borderId="0" xfId="0" applyFont="1" applyFill="1" applyAlignment="1">
      <alignment horizontal="right" vertical="center"/>
    </xf>
    <xf numFmtId="0" fontId="0" fillId="3" borderId="0" xfId="0" applyFill="1" applyAlignment="1">
      <alignment horizontal="center" vertical="top"/>
    </xf>
  </cellXfs>
  <cellStyles count="2">
    <cellStyle name="Normal" xfId="0" builtinId="0"/>
    <cellStyle name="Per cent" xfId="1" builtinId="5"/>
  </cellStyles>
  <dxfs count="19">
    <dxf>
      <fill>
        <patternFill>
          <bgColor theme="8" tint="0.59996337778862885"/>
        </patternFill>
      </fill>
      <border>
        <left style="thin">
          <color theme="1"/>
        </left>
        <right style="thin">
          <color theme="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B217FB76-F60B-4044-904E-1590AB932229}">
      <tableStyleElement type="wholeTable" dxfId="17"/>
      <tableStyleElement type="headerRow" dxfId="16"/>
    </tableStyle>
  </tableStyles>
  <colors>
    <mruColors>
      <color rgb="FFEAEA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Call Trend</a:t>
            </a:r>
          </a:p>
        </c:rich>
      </c:tx>
      <c:layout>
        <c:manualLayout>
          <c:xMode val="edge"/>
          <c:yMode val="edge"/>
          <c:x val="2.2009017248063149E-2"/>
          <c:y val="3.9119794359254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6">
                  <a:lumMod val="75000"/>
                  <a:alpha val="50000"/>
                </a:schemeClr>
              </a:gs>
              <a:gs pos="0">
                <a:schemeClr val="accent6">
                  <a:lumMod val="60000"/>
                  <a:lumOff val="40000"/>
                </a:schemeClr>
              </a:gs>
            </a:gsLst>
            <a:lin ang="16200000" scaled="1"/>
            <a:tileRect/>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pivots!$C$17</c:f>
              <c:strCache>
                <c:ptCount val="1"/>
                <c:pt idx="0">
                  <c:v>Call Count2</c:v>
                </c:pt>
              </c:strCache>
            </c:strRef>
          </c:tx>
          <c:spPr>
            <a:gradFill flip="none" rotWithShape="1">
              <a:gsLst>
                <a:gs pos="100000">
                  <a:schemeClr val="accent6">
                    <a:lumMod val="75000"/>
                    <a:alpha val="50000"/>
                  </a:schemeClr>
                </a:gs>
                <a:gs pos="0">
                  <a:schemeClr val="accent6">
                    <a:lumMod val="60000"/>
                    <a:lumOff val="40000"/>
                  </a:schemeClr>
                </a:gs>
              </a:gsLst>
              <a:lin ang="16200000" scaled="1"/>
              <a:tileRect/>
            </a:gradFill>
            <a:ln>
              <a:solidFill>
                <a:schemeClr val="accent6"/>
              </a:solidFill>
            </a:ln>
            <a:effectLst/>
          </c:spP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pivots!$C$18:$C$30</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D0B7-43EA-BC47-B5010E8554EC}"/>
            </c:ext>
          </c:extLst>
        </c:ser>
        <c:dLbls>
          <c:showLegendKey val="0"/>
          <c:showVal val="0"/>
          <c:showCatName val="0"/>
          <c:showSerName val="0"/>
          <c:showPercent val="0"/>
          <c:showBubbleSize val="0"/>
        </c:dLbls>
        <c:axId val="246908432"/>
        <c:axId val="242924112"/>
      </c:areaChart>
      <c:lineChart>
        <c:grouping val="standard"/>
        <c:varyColors val="0"/>
        <c:ser>
          <c:idx val="0"/>
          <c:order val="0"/>
          <c:tx>
            <c:strRef>
              <c:f>pivots!$B$17</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D0B7-43EA-BC47-B5010E8554EC}"/>
            </c:ext>
          </c:extLst>
        </c:ser>
        <c:dLbls>
          <c:showLegendKey val="0"/>
          <c:showVal val="0"/>
          <c:showCatName val="0"/>
          <c:showSerName val="0"/>
          <c:showPercent val="0"/>
          <c:showBubbleSize val="0"/>
        </c:dLbls>
        <c:marker val="1"/>
        <c:smooth val="0"/>
        <c:axId val="246908432"/>
        <c:axId val="242924112"/>
      </c:lineChart>
      <c:catAx>
        <c:axId val="24690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24112"/>
        <c:crosses val="autoZero"/>
        <c:auto val="1"/>
        <c:lblAlgn val="ctr"/>
        <c:lblOffset val="100"/>
        <c:noMultiLvlLbl val="0"/>
      </c:catAx>
      <c:valAx>
        <c:axId val="242924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pivots!$F$18:$F$25</c:f>
              <c:strCache>
                <c:ptCount val="7"/>
                <c:pt idx="0">
                  <c:v>Sunday</c:v>
                </c:pt>
                <c:pt idx="1">
                  <c:v>Monday</c:v>
                </c:pt>
                <c:pt idx="2">
                  <c:v>Tuesday</c:v>
                </c:pt>
                <c:pt idx="3">
                  <c:v>Wednesday</c:v>
                </c:pt>
                <c:pt idx="4">
                  <c:v>Thursday</c:v>
                </c:pt>
                <c:pt idx="5">
                  <c:v>Friday</c:v>
                </c:pt>
                <c:pt idx="6">
                  <c:v>Saturday</c:v>
                </c:pt>
              </c:strCache>
            </c:strRef>
          </c:cat>
          <c:val>
            <c:numRef>
              <c:f>pivots!$G$18:$G$25</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D71C-4946-949B-AB863F5B66C9}"/>
            </c:ext>
          </c:extLst>
        </c:ser>
        <c:dLbls>
          <c:showLegendKey val="0"/>
          <c:showVal val="0"/>
          <c:showCatName val="0"/>
          <c:showSerName val="0"/>
          <c:showPercent val="0"/>
          <c:showBubbleSize val="0"/>
        </c:dLbls>
        <c:gapWidth val="25"/>
        <c:axId val="246910832"/>
        <c:axId val="246911792"/>
      </c:barChart>
      <c:catAx>
        <c:axId val="2469108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11792"/>
        <c:crosses val="autoZero"/>
        <c:auto val="1"/>
        <c:lblAlgn val="ctr"/>
        <c:lblOffset val="100"/>
        <c:noMultiLvlLbl val="0"/>
      </c:catAx>
      <c:valAx>
        <c:axId val="246911792"/>
        <c:scaling>
          <c:orientation val="minMax"/>
        </c:scaling>
        <c:delete val="1"/>
        <c:axPos val="t"/>
        <c:numFmt formatCode="#,##0" sourceLinked="1"/>
        <c:majorTickMark val="none"/>
        <c:minorTickMark val="none"/>
        <c:tickLblPos val="nextTo"/>
        <c:crossAx val="2469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6"/>
                </a:solidFill>
                <a:latin typeface="+mn-lt"/>
                <a:ea typeface="+mn-ea"/>
                <a:cs typeface="+mn-cs"/>
              </a:defRPr>
            </a:pPr>
            <a:r>
              <a:rPr lang="en-US" sz="1200" b="1">
                <a:solidFill>
                  <a:schemeClr val="accent6"/>
                </a:solidFill>
              </a:rPr>
              <a:t>Amount</a:t>
            </a:r>
          </a:p>
        </c:rich>
      </c:tx>
      <c:layout>
        <c:manualLayout>
          <c:xMode val="edge"/>
          <c:yMode val="edge"/>
          <c:x val="8.6252261945517675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pivots!$F$45:$F$49</c:f>
              <c:strCache>
                <c:ptCount val="5"/>
                <c:pt idx="0">
                  <c:v>R01</c:v>
                </c:pt>
                <c:pt idx="1">
                  <c:v>R02</c:v>
                </c:pt>
                <c:pt idx="2">
                  <c:v>R03</c:v>
                </c:pt>
                <c:pt idx="3">
                  <c:v>R04</c:v>
                </c:pt>
                <c:pt idx="4">
                  <c:v>R05</c:v>
                </c:pt>
              </c:strCache>
            </c:strRef>
          </c:cat>
          <c:val>
            <c:numRef>
              <c:f>pivots!$H$45:$H$49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1B0-4C66-8AA3-5267860E3964}"/>
            </c:ext>
          </c:extLst>
        </c:ser>
        <c:ser>
          <c:idx val="1"/>
          <c:order val="1"/>
          <c:tx>
            <c:strRef>
              <c:f>pivots!$J$44</c:f>
              <c:strCache>
                <c:ptCount val="1"/>
                <c:pt idx="0">
                  <c:v>Sel. Amount</c:v>
                </c:pt>
              </c:strCache>
            </c:strRef>
          </c:tx>
          <c:spPr>
            <a:gradFill>
              <a:gsLst>
                <a:gs pos="0">
                  <a:schemeClr val="accent6">
                    <a:lumMod val="20000"/>
                    <a:lumOff val="80000"/>
                  </a:schemeClr>
                </a:gs>
                <a:gs pos="100000">
                  <a:schemeClr val="accent6"/>
                </a:gs>
              </a:gsLst>
              <a:lin ang="0" scaled="1"/>
            </a:gradFill>
            <a:ln>
              <a:noFill/>
            </a:ln>
            <a:effectLst/>
          </c:spPr>
          <c:invertIfNegative val="0"/>
          <c:val>
            <c:numRef>
              <c:f>pivots!$J$45:$J$49</c:f>
              <c:numCache>
                <c:formatCode>"$"#,###.0,"k"</c:formatCode>
                <c:ptCount val="5"/>
                <c:pt idx="0">
                  <c:v>#N/A</c:v>
                </c:pt>
                <c:pt idx="1">
                  <c:v>20581</c:v>
                </c:pt>
                <c:pt idx="2">
                  <c:v>#N/A</c:v>
                </c:pt>
                <c:pt idx="3">
                  <c:v>#N/A</c:v>
                </c:pt>
                <c:pt idx="4">
                  <c:v>#N/A</c:v>
                </c:pt>
              </c:numCache>
            </c:numRef>
          </c:val>
          <c:extLst>
            <c:ext xmlns:c16="http://schemas.microsoft.com/office/drawing/2014/chart" uri="{C3380CC4-5D6E-409C-BE32-E72D297353CC}">
              <c16:uniqueId val="{00000001-11B0-4C66-8AA3-5267860E3964}"/>
            </c:ext>
          </c:extLst>
        </c:ser>
        <c:dLbls>
          <c:showLegendKey val="0"/>
          <c:showVal val="0"/>
          <c:showCatName val="0"/>
          <c:showSerName val="0"/>
          <c:showPercent val="0"/>
          <c:showBubbleSize val="0"/>
        </c:dLbls>
        <c:gapWidth val="25"/>
        <c:overlap val="100"/>
        <c:axId val="231640352"/>
        <c:axId val="231657152"/>
      </c:barChart>
      <c:catAx>
        <c:axId val="231640352"/>
        <c:scaling>
          <c:orientation val="maxMin"/>
        </c:scaling>
        <c:delete val="1"/>
        <c:axPos val="l"/>
        <c:numFmt formatCode="General" sourceLinked="1"/>
        <c:majorTickMark val="none"/>
        <c:minorTickMark val="none"/>
        <c:tickLblPos val="nextTo"/>
        <c:crossAx val="231657152"/>
        <c:crosses val="autoZero"/>
        <c:auto val="1"/>
        <c:lblAlgn val="ctr"/>
        <c:lblOffset val="100"/>
        <c:noMultiLvlLbl val="0"/>
      </c:catAx>
      <c:valAx>
        <c:axId val="231657152"/>
        <c:scaling>
          <c:orientation val="minMax"/>
        </c:scaling>
        <c:delete val="1"/>
        <c:axPos val="t"/>
        <c:numFmt formatCode="&quot;$&quot;#,###.0,&quot;k&quot;" sourceLinked="1"/>
        <c:majorTickMark val="none"/>
        <c:minorTickMark val="none"/>
        <c:tickLblPos val="nextTo"/>
        <c:crossAx val="2316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5"/>
                </a:solidFill>
                <a:latin typeface="+mn-lt"/>
                <a:ea typeface="+mn-ea"/>
                <a:cs typeface="+mn-cs"/>
              </a:defRPr>
            </a:pPr>
            <a:r>
              <a:rPr lang="en-US" sz="1400" b="1">
                <a:solidFill>
                  <a:schemeClr val="accent5"/>
                </a:solidFill>
                <a:latin typeface="+mn-lt"/>
              </a:rPr>
              <a:t>Calls</a:t>
            </a:r>
          </a:p>
        </c:rich>
      </c:tx>
      <c:layout>
        <c:manualLayout>
          <c:xMode val="edge"/>
          <c:yMode val="edge"/>
          <c:x val="6.3051624401397416E-2"/>
          <c:y val="2.777777777777777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pivots!$F$45:$F$49</c:f>
              <c:strCache>
                <c:ptCount val="5"/>
                <c:pt idx="0">
                  <c:v>R01</c:v>
                </c:pt>
                <c:pt idx="1">
                  <c:v>R02</c:v>
                </c:pt>
                <c:pt idx="2">
                  <c:v>R03</c:v>
                </c:pt>
                <c:pt idx="3">
                  <c:v>R04</c:v>
                </c:pt>
                <c:pt idx="4">
                  <c:v>R05</c:v>
                </c:pt>
              </c:strCache>
            </c:strRef>
          </c:cat>
          <c:val>
            <c:numRef>
              <c:f>pivots!$G$45:$G$49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414-4C32-9561-A99E3C53D408}"/>
            </c:ext>
          </c:extLst>
        </c:ser>
        <c:ser>
          <c:idx val="1"/>
          <c:order val="1"/>
          <c:tx>
            <c:strRef>
              <c:f>pivots!$I$44</c:f>
              <c:strCache>
                <c:ptCount val="1"/>
                <c:pt idx="0">
                  <c:v>Sel. Calls</c:v>
                </c:pt>
              </c:strCache>
            </c:strRef>
          </c:tx>
          <c:spPr>
            <a:gradFill flip="none" rotWithShape="1">
              <a:gsLst>
                <a:gs pos="0">
                  <a:schemeClr val="accent5">
                    <a:lumMod val="20000"/>
                    <a:lumOff val="80000"/>
                  </a:schemeClr>
                </a:gs>
                <a:gs pos="100000">
                  <a:schemeClr val="accent5"/>
                </a:gs>
              </a:gsLst>
              <a:lin ang="0" scaled="1"/>
              <a:tileRect/>
            </a:gradFill>
            <a:ln>
              <a:noFill/>
            </a:ln>
            <a:effectLst/>
          </c:spPr>
          <c:invertIfNegative val="0"/>
          <c:val>
            <c:numRef>
              <c:f>pivots!$I$45:$I$49</c:f>
              <c:numCache>
                <c:formatCode>0</c:formatCode>
                <c:ptCount val="5"/>
                <c:pt idx="0" formatCode="&quot;$&quot;#,###.0,&quot;k&quot;">
                  <c:v>#N/A</c:v>
                </c:pt>
                <c:pt idx="1">
                  <c:v>218</c:v>
                </c:pt>
                <c:pt idx="2" formatCode="&quot;$&quot;#,###.0,&quot;k&quot;">
                  <c:v>#N/A</c:v>
                </c:pt>
                <c:pt idx="3" formatCode="&quot;$&quot;#,###.0,&quot;k&quot;">
                  <c:v>#N/A</c:v>
                </c:pt>
                <c:pt idx="4" formatCode="&quot;$&quot;#,###.0,&quot;k&quot;">
                  <c:v>#N/A</c:v>
                </c:pt>
              </c:numCache>
            </c:numRef>
          </c:val>
          <c:extLst>
            <c:ext xmlns:c16="http://schemas.microsoft.com/office/drawing/2014/chart" uri="{C3380CC4-5D6E-409C-BE32-E72D297353CC}">
              <c16:uniqueId val="{00000001-4414-4C32-9561-A99E3C53D408}"/>
            </c:ext>
          </c:extLst>
        </c:ser>
        <c:dLbls>
          <c:showLegendKey val="0"/>
          <c:showVal val="0"/>
          <c:showCatName val="0"/>
          <c:showSerName val="0"/>
          <c:showPercent val="0"/>
          <c:showBubbleSize val="0"/>
        </c:dLbls>
        <c:gapWidth val="25"/>
        <c:overlap val="100"/>
        <c:axId val="231640352"/>
        <c:axId val="231657152"/>
      </c:barChart>
      <c:catAx>
        <c:axId val="231640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57152"/>
        <c:crosses val="autoZero"/>
        <c:auto val="1"/>
        <c:lblAlgn val="ctr"/>
        <c:lblOffset val="100"/>
        <c:noMultiLvlLbl val="0"/>
      </c:catAx>
      <c:valAx>
        <c:axId val="231657152"/>
        <c:scaling>
          <c:orientation val="minMax"/>
          <c:min val="0"/>
        </c:scaling>
        <c:delete val="1"/>
        <c:axPos val="t"/>
        <c:numFmt formatCode="General" sourceLinked="1"/>
        <c:majorTickMark val="none"/>
        <c:minorTickMark val="none"/>
        <c:tickLblPos val="nextTo"/>
        <c:crossAx val="2316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latin typeface="+mn-lt"/>
              </a:rPr>
              <a:t>Female</a:t>
            </a:r>
            <a:r>
              <a:rPr lang="en-US" b="1" baseline="0">
                <a:latin typeface="+mn-lt"/>
              </a:rPr>
              <a:t> Vs. </a:t>
            </a:r>
            <a:r>
              <a:rPr lang="en-US" b="1" baseline="0">
                <a:solidFill>
                  <a:schemeClr val="accent4"/>
                </a:solidFill>
                <a:latin typeface="+mn-lt"/>
              </a:rPr>
              <a:t>Male</a:t>
            </a:r>
            <a:r>
              <a:rPr lang="en-US" b="1" baseline="0">
                <a:latin typeface="+mn-lt"/>
              </a:rPr>
              <a:t> Callers</a:t>
            </a:r>
            <a:endParaRPr lang="en-US"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pivots!$F$58:$F$59</c:f>
              <c:strCache>
                <c:ptCount val="1"/>
                <c:pt idx="0">
                  <c:v>Female</c:v>
                </c:pt>
              </c:strCache>
            </c:strRef>
          </c:tx>
          <c:spPr>
            <a:solidFill>
              <a:schemeClr val="accent5"/>
            </a:solidFill>
            <a:ln>
              <a:noFill/>
            </a:ln>
            <a:effectLst/>
          </c:spPr>
          <c:invertIfNegative val="0"/>
          <c:dLbls>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pivots!$E$60:$E$63</c:f>
              <c:strCache>
                <c:ptCount val="3"/>
                <c:pt idx="0">
                  <c:v>Cincinnati</c:v>
                </c:pt>
                <c:pt idx="1">
                  <c:v>Cleveland</c:v>
                </c:pt>
                <c:pt idx="2">
                  <c:v>Columbus</c:v>
                </c:pt>
              </c:strCache>
            </c:strRef>
          </c:cat>
          <c:val>
            <c:numRef>
              <c:f>pivots!$F$60:$F$63</c:f>
              <c:numCache>
                <c:formatCode>#,##0</c:formatCode>
                <c:ptCount val="3"/>
                <c:pt idx="0">
                  <c:v>144</c:v>
                </c:pt>
                <c:pt idx="1">
                  <c:v>326</c:v>
                </c:pt>
                <c:pt idx="2">
                  <c:v>129</c:v>
                </c:pt>
              </c:numCache>
            </c:numRef>
          </c:val>
          <c:extLst>
            <c:ext xmlns:c16="http://schemas.microsoft.com/office/drawing/2014/chart" uri="{C3380CC4-5D6E-409C-BE32-E72D297353CC}">
              <c16:uniqueId val="{00000000-4A0E-4BA1-8752-095BA088A775}"/>
            </c:ext>
          </c:extLst>
        </c:ser>
        <c:ser>
          <c:idx val="1"/>
          <c:order val="1"/>
          <c:tx>
            <c:strRef>
              <c:f>pivots!$G$58:$G$59</c:f>
              <c:strCache>
                <c:ptCount val="1"/>
                <c:pt idx="0">
                  <c:v>Male</c:v>
                </c:pt>
              </c:strCache>
            </c:strRef>
          </c:tx>
          <c:spPr>
            <a:solidFill>
              <a:schemeClr val="accent4"/>
            </a:solidFill>
            <a:ln>
              <a:noFill/>
            </a:ln>
            <a:effectLst/>
          </c:spPr>
          <c:invertIfNegative val="0"/>
          <c:dLbls>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pivots!$E$60:$E$63</c:f>
              <c:strCache>
                <c:ptCount val="3"/>
                <c:pt idx="0">
                  <c:v>Cincinnati</c:v>
                </c:pt>
                <c:pt idx="1">
                  <c:v>Cleveland</c:v>
                </c:pt>
                <c:pt idx="2">
                  <c:v>Columbus</c:v>
                </c:pt>
              </c:strCache>
            </c:strRef>
          </c:cat>
          <c:val>
            <c:numRef>
              <c:f>pivots!$G$60:$G$63</c:f>
              <c:numCache>
                <c:formatCode>#,##0</c:formatCode>
                <c:ptCount val="3"/>
                <c:pt idx="0">
                  <c:v>132</c:v>
                </c:pt>
                <c:pt idx="1">
                  <c:v>63</c:v>
                </c:pt>
                <c:pt idx="2">
                  <c:v>206</c:v>
                </c:pt>
              </c:numCache>
            </c:numRef>
          </c:val>
          <c:extLst>
            <c:ext xmlns:c16="http://schemas.microsoft.com/office/drawing/2014/chart" uri="{C3380CC4-5D6E-409C-BE32-E72D297353CC}">
              <c16:uniqueId val="{00000001-4A0E-4BA1-8752-095BA088A775}"/>
            </c:ext>
          </c:extLst>
        </c:ser>
        <c:dLbls>
          <c:showLegendKey val="0"/>
          <c:showVal val="0"/>
          <c:showCatName val="0"/>
          <c:showSerName val="0"/>
          <c:showPercent val="0"/>
          <c:showBubbleSize val="0"/>
        </c:dLbls>
        <c:gapWidth val="25"/>
        <c:overlap val="100"/>
        <c:axId val="417422560"/>
        <c:axId val="417423040"/>
      </c:barChart>
      <c:catAx>
        <c:axId val="41742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23040"/>
        <c:crosses val="autoZero"/>
        <c:auto val="1"/>
        <c:lblAlgn val="ctr"/>
        <c:lblOffset val="100"/>
        <c:noMultiLvlLbl val="0"/>
      </c:catAx>
      <c:valAx>
        <c:axId val="417423040"/>
        <c:scaling>
          <c:orientation val="minMax"/>
        </c:scaling>
        <c:delete val="1"/>
        <c:axPos val="l"/>
        <c:numFmt formatCode="0%" sourceLinked="1"/>
        <c:majorTickMark val="none"/>
        <c:minorTickMark val="none"/>
        <c:tickLblPos val="nextTo"/>
        <c:crossAx val="41742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pivots!$F$66</c:f>
              <c:strCache>
                <c:ptCount val="1"/>
                <c:pt idx="0">
                  <c:v>Total</c:v>
                </c:pt>
              </c:strCache>
            </c:strRef>
          </c:tx>
          <c:spPr>
            <a:solidFill>
              <a:schemeClr val="bg2">
                <a:lumMod val="50000"/>
              </a:schemeClr>
            </a:solidFill>
            <a:ln>
              <a:noFill/>
            </a:ln>
            <a:effectLst/>
          </c:spPr>
          <c:invertIfNegative val="0"/>
          <c:cat>
            <c:strRef>
              <c:f>pivots!$E$67:$E$72</c:f>
              <c:strCache>
                <c:ptCount val="5"/>
                <c:pt idx="0">
                  <c:v>1</c:v>
                </c:pt>
                <c:pt idx="1">
                  <c:v>2</c:v>
                </c:pt>
                <c:pt idx="2">
                  <c:v>3</c:v>
                </c:pt>
                <c:pt idx="3">
                  <c:v>4</c:v>
                </c:pt>
                <c:pt idx="4">
                  <c:v>5</c:v>
                </c:pt>
              </c:strCache>
            </c:strRef>
          </c:cat>
          <c:val>
            <c:numRef>
              <c:f>pivots!$F$67:$F$72</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4B6D-45A7-A57A-45E2214F49AD}"/>
            </c:ext>
          </c:extLst>
        </c:ser>
        <c:dLbls>
          <c:showLegendKey val="0"/>
          <c:showVal val="0"/>
          <c:showCatName val="0"/>
          <c:showSerName val="0"/>
          <c:showPercent val="0"/>
          <c:showBubbleSize val="0"/>
        </c:dLbls>
        <c:gapWidth val="10"/>
        <c:overlap val="-27"/>
        <c:axId val="246911312"/>
        <c:axId val="246911792"/>
      </c:barChart>
      <c:catAx>
        <c:axId val="2469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11792"/>
        <c:crosses val="autoZero"/>
        <c:auto val="1"/>
        <c:lblAlgn val="ctr"/>
        <c:lblOffset val="100"/>
        <c:noMultiLvlLbl val="0"/>
      </c:catAx>
      <c:valAx>
        <c:axId val="246911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1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4.png"/><Relationship Id="rId7" Type="http://schemas.openxmlformats.org/officeDocument/2006/relationships/image" Target="../media/image16.png"/><Relationship Id="rId12" Type="http://schemas.openxmlformats.org/officeDocument/2006/relationships/image" Target="../media/image13.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9.svg"/><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5.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166687</xdr:colOff>
      <xdr:row>1</xdr:row>
      <xdr:rowOff>33338</xdr:rowOff>
    </xdr:from>
    <xdr:to>
      <xdr:col>3</xdr:col>
      <xdr:colOff>395287</xdr:colOff>
      <xdr:row>6</xdr:row>
      <xdr:rowOff>14288</xdr:rowOff>
    </xdr:to>
    <xdr:sp macro="" textlink="pivots!A4">
      <xdr:nvSpPr>
        <xdr:cNvPr id="2" name="Rectangle 1">
          <a:extLst>
            <a:ext uri="{FF2B5EF4-FFF2-40B4-BE49-F238E27FC236}">
              <a16:creationId xmlns:a16="http://schemas.microsoft.com/office/drawing/2014/main" id="{8EB5C96C-AF3E-B74C-7A80-B718728C0FAD}"/>
            </a:ext>
          </a:extLst>
        </xdr:cNvPr>
        <xdr:cNvSpPr/>
      </xdr:nvSpPr>
      <xdr:spPr>
        <a:xfrm>
          <a:off x="166687" y="585788"/>
          <a:ext cx="1209675" cy="8858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FD8522-5D07-478C-AFE9-01D78FEF28D8}" type="TxLink">
            <a:rPr lang="en-US" sz="2800" b="1" i="0" u="none" strike="noStrike">
              <a:solidFill>
                <a:schemeClr val="bg1"/>
              </a:solidFill>
              <a:latin typeface="Aptos Display" panose="020B0004020202020204" pitchFamily="34" charset="0"/>
            </a:rPr>
            <a:pPr algn="ctr"/>
            <a:t>1,000</a:t>
          </a:fld>
          <a:endParaRPr lang="en-US" sz="2800" b="1">
            <a:solidFill>
              <a:schemeClr val="bg1"/>
            </a:solidFill>
            <a:latin typeface="Aptos Display" panose="020B0004020202020204" pitchFamily="34" charset="0"/>
          </a:endParaRPr>
        </a:p>
      </xdr:txBody>
    </xdr:sp>
    <xdr:clientData/>
  </xdr:twoCellAnchor>
  <xdr:twoCellAnchor>
    <xdr:from>
      <xdr:col>1</xdr:col>
      <xdr:colOff>80963</xdr:colOff>
      <xdr:row>1</xdr:row>
      <xdr:rowOff>90487</xdr:rowOff>
    </xdr:from>
    <xdr:to>
      <xdr:col>3</xdr:col>
      <xdr:colOff>300038</xdr:colOff>
      <xdr:row>2</xdr:row>
      <xdr:rowOff>109537</xdr:rowOff>
    </xdr:to>
    <xdr:sp macro="" textlink="">
      <xdr:nvSpPr>
        <xdr:cNvPr id="3" name="TextBox 2">
          <a:extLst>
            <a:ext uri="{FF2B5EF4-FFF2-40B4-BE49-F238E27FC236}">
              <a16:creationId xmlns:a16="http://schemas.microsoft.com/office/drawing/2014/main" id="{FA559642-9AE7-084E-2891-97EC1DDACD9D}"/>
            </a:ext>
          </a:extLst>
        </xdr:cNvPr>
        <xdr:cNvSpPr txBox="1"/>
      </xdr:nvSpPr>
      <xdr:spPr>
        <a:xfrm>
          <a:off x="271463" y="642937"/>
          <a:ext cx="10096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Calls</a:t>
          </a:r>
        </a:p>
      </xdr:txBody>
    </xdr:sp>
    <xdr:clientData/>
  </xdr:twoCellAnchor>
  <xdr:twoCellAnchor editAs="oneCell">
    <xdr:from>
      <xdr:col>1</xdr:col>
      <xdr:colOff>85725</xdr:colOff>
      <xdr:row>1</xdr:row>
      <xdr:rowOff>85726</xdr:rowOff>
    </xdr:from>
    <xdr:to>
      <xdr:col>1</xdr:col>
      <xdr:colOff>306388</xdr:colOff>
      <xdr:row>2</xdr:row>
      <xdr:rowOff>101257</xdr:rowOff>
    </xdr:to>
    <xdr:pic>
      <xdr:nvPicPr>
        <xdr:cNvPr id="4" name="Graphic 3" descr="Receiver with solid fill">
          <a:extLst>
            <a:ext uri="{FF2B5EF4-FFF2-40B4-BE49-F238E27FC236}">
              <a16:creationId xmlns:a16="http://schemas.microsoft.com/office/drawing/2014/main" id="{13E889D6-1655-489B-B38A-5019503913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6225" y="638176"/>
          <a:ext cx="204788" cy="196506"/>
        </a:xfrm>
        <a:prstGeom prst="rect">
          <a:avLst/>
        </a:prstGeom>
      </xdr:spPr>
    </xdr:pic>
    <xdr:clientData/>
  </xdr:twoCellAnchor>
  <xdr:twoCellAnchor>
    <xdr:from>
      <xdr:col>2</xdr:col>
      <xdr:colOff>195263</xdr:colOff>
      <xdr:row>5</xdr:row>
      <xdr:rowOff>23813</xdr:rowOff>
    </xdr:from>
    <xdr:to>
      <xdr:col>3</xdr:col>
      <xdr:colOff>147638</xdr:colOff>
      <xdr:row>5</xdr:row>
      <xdr:rowOff>128588</xdr:rowOff>
    </xdr:to>
    <xdr:sp macro="" textlink="pivots!A9">
      <xdr:nvSpPr>
        <xdr:cNvPr id="5" name="TextBox 4">
          <a:extLst>
            <a:ext uri="{FF2B5EF4-FFF2-40B4-BE49-F238E27FC236}">
              <a16:creationId xmlns:a16="http://schemas.microsoft.com/office/drawing/2014/main" id="{39F1B9F6-B646-5DBB-B5A2-1484DC493599}"/>
            </a:ext>
          </a:extLst>
        </xdr:cNvPr>
        <xdr:cNvSpPr txBox="1"/>
      </xdr:nvSpPr>
      <xdr:spPr>
        <a:xfrm>
          <a:off x="585788" y="1300163"/>
          <a:ext cx="542925" cy="10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3A981BA-C962-45CA-B825-F10DB24DEA33}" type="TxLink">
            <a:rPr lang="en-US" sz="1100" b="1" i="0" u="none" strike="noStrike">
              <a:solidFill>
                <a:schemeClr val="accent6">
                  <a:lumMod val="20000"/>
                  <a:lumOff val="80000"/>
                </a:schemeClr>
              </a:solidFill>
              <a:latin typeface="Aptos Narrow"/>
            </a:rPr>
            <a:pPr/>
            <a:t>218</a:t>
          </a:fld>
          <a:endParaRPr lang="en-US" sz="1100" b="1">
            <a:solidFill>
              <a:schemeClr val="accent6">
                <a:lumMod val="20000"/>
                <a:lumOff val="80000"/>
              </a:schemeClr>
            </a:solidFill>
          </a:endParaRPr>
        </a:p>
      </xdr:txBody>
    </xdr:sp>
    <xdr:clientData/>
  </xdr:twoCellAnchor>
  <xdr:twoCellAnchor>
    <xdr:from>
      <xdr:col>0</xdr:col>
      <xdr:colOff>161925</xdr:colOff>
      <xdr:row>7</xdr:row>
      <xdr:rowOff>38100</xdr:rowOff>
    </xdr:from>
    <xdr:to>
      <xdr:col>3</xdr:col>
      <xdr:colOff>390525</xdr:colOff>
      <xdr:row>12</xdr:row>
      <xdr:rowOff>19050</xdr:rowOff>
    </xdr:to>
    <xdr:sp macro="" textlink="pivots!B4">
      <xdr:nvSpPr>
        <xdr:cNvPr id="6" name="Rectangle 5">
          <a:extLst>
            <a:ext uri="{FF2B5EF4-FFF2-40B4-BE49-F238E27FC236}">
              <a16:creationId xmlns:a16="http://schemas.microsoft.com/office/drawing/2014/main" id="{E9076435-6407-45C8-AC93-847ACFEF423D}"/>
            </a:ext>
          </a:extLst>
        </xdr:cNvPr>
        <xdr:cNvSpPr/>
      </xdr:nvSpPr>
      <xdr:spPr>
        <a:xfrm>
          <a:off x="161925" y="1676400"/>
          <a:ext cx="1209675" cy="8858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893F70-785C-48F2-A20A-3897AFF09FEF}" type="TxLink">
            <a:rPr lang="en-US" sz="2400" b="1" i="0" u="none" strike="noStrike">
              <a:solidFill>
                <a:schemeClr val="bg1"/>
              </a:solidFill>
              <a:latin typeface="Aptos Narrow"/>
            </a:rPr>
            <a:pPr algn="ctr"/>
            <a:t>$96,623</a:t>
          </a:fld>
          <a:endParaRPr lang="en-US" sz="2400" b="1">
            <a:solidFill>
              <a:schemeClr val="bg1"/>
            </a:solidFill>
            <a:latin typeface="Aptos Display" panose="020B0004020202020204" pitchFamily="34" charset="0"/>
          </a:endParaRPr>
        </a:p>
      </xdr:txBody>
    </xdr:sp>
    <xdr:clientData/>
  </xdr:twoCellAnchor>
  <xdr:twoCellAnchor>
    <xdr:from>
      <xdr:col>1</xdr:col>
      <xdr:colOff>47626</xdr:colOff>
      <xdr:row>7</xdr:row>
      <xdr:rowOff>95249</xdr:rowOff>
    </xdr:from>
    <xdr:to>
      <xdr:col>3</xdr:col>
      <xdr:colOff>266701</xdr:colOff>
      <xdr:row>8</xdr:row>
      <xdr:rowOff>114299</xdr:rowOff>
    </xdr:to>
    <xdr:sp macro="" textlink="">
      <xdr:nvSpPr>
        <xdr:cNvPr id="7" name="TextBox 6">
          <a:extLst>
            <a:ext uri="{FF2B5EF4-FFF2-40B4-BE49-F238E27FC236}">
              <a16:creationId xmlns:a16="http://schemas.microsoft.com/office/drawing/2014/main" id="{E9B709D7-F33A-4E31-B118-44EE2079DB99}"/>
            </a:ext>
          </a:extLst>
        </xdr:cNvPr>
        <xdr:cNvSpPr txBox="1"/>
      </xdr:nvSpPr>
      <xdr:spPr>
        <a:xfrm>
          <a:off x="238126" y="1733549"/>
          <a:ext cx="10096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Amount</a:t>
          </a:r>
        </a:p>
      </xdr:txBody>
    </xdr:sp>
    <xdr:clientData/>
  </xdr:twoCellAnchor>
  <xdr:twoCellAnchor>
    <xdr:from>
      <xdr:col>2</xdr:col>
      <xdr:colOff>114301</xdr:colOff>
      <xdr:row>11</xdr:row>
      <xdr:rowOff>28575</xdr:rowOff>
    </xdr:from>
    <xdr:to>
      <xdr:col>3</xdr:col>
      <xdr:colOff>66676</xdr:colOff>
      <xdr:row>11</xdr:row>
      <xdr:rowOff>133350</xdr:rowOff>
    </xdr:to>
    <xdr:sp macro="" textlink="pivots!B9">
      <xdr:nvSpPr>
        <xdr:cNvPr id="9" name="TextBox 8">
          <a:extLst>
            <a:ext uri="{FF2B5EF4-FFF2-40B4-BE49-F238E27FC236}">
              <a16:creationId xmlns:a16="http://schemas.microsoft.com/office/drawing/2014/main" id="{7061B6C9-826F-4235-B089-958C60B0E38E}"/>
            </a:ext>
          </a:extLst>
        </xdr:cNvPr>
        <xdr:cNvSpPr txBox="1"/>
      </xdr:nvSpPr>
      <xdr:spPr>
        <a:xfrm>
          <a:off x="504826" y="2390775"/>
          <a:ext cx="542925" cy="10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B72CE23-BDFF-4093-990E-1F1DD500BFC5}" type="TxLink">
            <a:rPr lang="en-US" sz="1100" b="0" i="0" u="none" strike="noStrike">
              <a:solidFill>
                <a:schemeClr val="accent6">
                  <a:lumMod val="20000"/>
                  <a:lumOff val="80000"/>
                </a:schemeClr>
              </a:solidFill>
              <a:latin typeface="Aptos Narrow"/>
            </a:rPr>
            <a:pPr algn="l"/>
            <a:t>$20,581</a:t>
          </a:fld>
          <a:endParaRPr lang="en-US" sz="1100" b="1">
            <a:solidFill>
              <a:schemeClr val="accent6">
                <a:lumMod val="20000"/>
                <a:lumOff val="80000"/>
              </a:schemeClr>
            </a:solidFill>
          </a:endParaRPr>
        </a:p>
      </xdr:txBody>
    </xdr:sp>
    <xdr:clientData/>
  </xdr:twoCellAnchor>
  <xdr:twoCellAnchor>
    <xdr:from>
      <xdr:col>0</xdr:col>
      <xdr:colOff>152400</xdr:colOff>
      <xdr:row>13</xdr:row>
      <xdr:rowOff>19050</xdr:rowOff>
    </xdr:from>
    <xdr:to>
      <xdr:col>3</xdr:col>
      <xdr:colOff>381000</xdr:colOff>
      <xdr:row>18</xdr:row>
      <xdr:rowOff>0</xdr:rowOff>
    </xdr:to>
    <xdr:sp macro="" textlink="pivots!C4">
      <xdr:nvSpPr>
        <xdr:cNvPr id="10" name="Rectangle 9">
          <a:extLst>
            <a:ext uri="{FF2B5EF4-FFF2-40B4-BE49-F238E27FC236}">
              <a16:creationId xmlns:a16="http://schemas.microsoft.com/office/drawing/2014/main" id="{3DF53369-FAC4-4A9C-9B73-469B29735B83}"/>
            </a:ext>
          </a:extLst>
        </xdr:cNvPr>
        <xdr:cNvSpPr/>
      </xdr:nvSpPr>
      <xdr:spPr>
        <a:xfrm>
          <a:off x="152400" y="2743200"/>
          <a:ext cx="1209675" cy="8858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5B8BB0-6B61-4974-9776-4B75447E063A}" type="TxLink">
            <a:rPr lang="en-US" sz="2400" b="1" i="0" u="none" strike="noStrike">
              <a:solidFill>
                <a:schemeClr val="bg1"/>
              </a:solidFill>
              <a:latin typeface="Aptos Narrow"/>
            </a:rPr>
            <a:pPr algn="ctr"/>
            <a:t>89,850</a:t>
          </a:fld>
          <a:endParaRPr lang="en-US" sz="2400" b="1">
            <a:solidFill>
              <a:schemeClr val="bg1"/>
            </a:solidFill>
            <a:latin typeface="Aptos Display" panose="020B0004020202020204" pitchFamily="34" charset="0"/>
          </a:endParaRPr>
        </a:p>
      </xdr:txBody>
    </xdr:sp>
    <xdr:clientData/>
  </xdr:twoCellAnchor>
  <xdr:twoCellAnchor>
    <xdr:from>
      <xdr:col>1</xdr:col>
      <xdr:colOff>66676</xdr:colOff>
      <xdr:row>13</xdr:row>
      <xdr:rowOff>76199</xdr:rowOff>
    </xdr:from>
    <xdr:to>
      <xdr:col>3</xdr:col>
      <xdr:colOff>285751</xdr:colOff>
      <xdr:row>14</xdr:row>
      <xdr:rowOff>95249</xdr:rowOff>
    </xdr:to>
    <xdr:sp macro="" textlink="">
      <xdr:nvSpPr>
        <xdr:cNvPr id="11" name="TextBox 10">
          <a:extLst>
            <a:ext uri="{FF2B5EF4-FFF2-40B4-BE49-F238E27FC236}">
              <a16:creationId xmlns:a16="http://schemas.microsoft.com/office/drawing/2014/main" id="{B15041EB-CF63-46A5-AAE8-F49DB55E6D25}"/>
            </a:ext>
          </a:extLst>
        </xdr:cNvPr>
        <xdr:cNvSpPr txBox="1"/>
      </xdr:nvSpPr>
      <xdr:spPr>
        <a:xfrm>
          <a:off x="257176" y="2800349"/>
          <a:ext cx="10096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Duration</a:t>
          </a:r>
        </a:p>
      </xdr:txBody>
    </xdr:sp>
    <xdr:clientData/>
  </xdr:twoCellAnchor>
  <xdr:twoCellAnchor>
    <xdr:from>
      <xdr:col>2</xdr:col>
      <xdr:colOff>66676</xdr:colOff>
      <xdr:row>17</xdr:row>
      <xdr:rowOff>19050</xdr:rowOff>
    </xdr:from>
    <xdr:to>
      <xdr:col>3</xdr:col>
      <xdr:colOff>19051</xdr:colOff>
      <xdr:row>17</xdr:row>
      <xdr:rowOff>123825</xdr:rowOff>
    </xdr:to>
    <xdr:sp macro="" textlink="pivots!C9">
      <xdr:nvSpPr>
        <xdr:cNvPr id="13" name="TextBox 12">
          <a:extLst>
            <a:ext uri="{FF2B5EF4-FFF2-40B4-BE49-F238E27FC236}">
              <a16:creationId xmlns:a16="http://schemas.microsoft.com/office/drawing/2014/main" id="{6D003FE4-485D-4807-B2C2-F1EC68745042}"/>
            </a:ext>
          </a:extLst>
        </xdr:cNvPr>
        <xdr:cNvSpPr txBox="1"/>
      </xdr:nvSpPr>
      <xdr:spPr>
        <a:xfrm>
          <a:off x="457201" y="3467100"/>
          <a:ext cx="542925" cy="10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ADD118-A257-4421-B307-FF1F59FCD619}" type="TxLink">
            <a:rPr lang="en-US" sz="1100" b="0" i="0" u="none" strike="noStrike">
              <a:solidFill>
                <a:schemeClr val="accent6">
                  <a:lumMod val="20000"/>
                  <a:lumOff val="80000"/>
                </a:schemeClr>
              </a:solidFill>
              <a:latin typeface="Aptos Narrow"/>
            </a:rPr>
            <a:pPr/>
            <a:t>19,300</a:t>
          </a:fld>
          <a:endParaRPr lang="en-US" sz="1100" b="1">
            <a:solidFill>
              <a:schemeClr val="accent6">
                <a:lumMod val="20000"/>
                <a:lumOff val="80000"/>
              </a:schemeClr>
            </a:solidFill>
          </a:endParaRPr>
        </a:p>
      </xdr:txBody>
    </xdr:sp>
    <xdr:clientData/>
  </xdr:twoCellAnchor>
  <xdr:twoCellAnchor>
    <xdr:from>
      <xdr:col>0</xdr:col>
      <xdr:colOff>152400</xdr:colOff>
      <xdr:row>18</xdr:row>
      <xdr:rowOff>171450</xdr:rowOff>
    </xdr:from>
    <xdr:to>
      <xdr:col>3</xdr:col>
      <xdr:colOff>381000</xdr:colOff>
      <xdr:row>23</xdr:row>
      <xdr:rowOff>152400</xdr:rowOff>
    </xdr:to>
    <xdr:sp macro="" textlink="pivots!D4">
      <xdr:nvSpPr>
        <xdr:cNvPr id="14" name="Rectangle 13">
          <a:extLst>
            <a:ext uri="{FF2B5EF4-FFF2-40B4-BE49-F238E27FC236}">
              <a16:creationId xmlns:a16="http://schemas.microsoft.com/office/drawing/2014/main" id="{833F65B6-20B8-4149-976C-F25C714EF75E}"/>
            </a:ext>
          </a:extLst>
        </xdr:cNvPr>
        <xdr:cNvSpPr/>
      </xdr:nvSpPr>
      <xdr:spPr>
        <a:xfrm>
          <a:off x="152400" y="3800475"/>
          <a:ext cx="1209675" cy="8858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554334-0A79-4840-ABFB-0B6466D8D07D}" type="TxLink">
            <a:rPr lang="en-US" sz="2800" b="1" i="0" u="none" strike="noStrike">
              <a:solidFill>
                <a:schemeClr val="bg1"/>
              </a:solidFill>
              <a:latin typeface="Aptos Narrow"/>
            </a:rPr>
            <a:pPr algn="ctr"/>
            <a:t>3.9</a:t>
          </a:fld>
          <a:endParaRPr lang="en-US" sz="2800" b="1">
            <a:solidFill>
              <a:schemeClr val="bg1"/>
            </a:solidFill>
            <a:latin typeface="Aptos Display" panose="020B0004020202020204" pitchFamily="34" charset="0"/>
          </a:endParaRPr>
        </a:p>
      </xdr:txBody>
    </xdr:sp>
    <xdr:clientData/>
  </xdr:twoCellAnchor>
  <xdr:twoCellAnchor>
    <xdr:from>
      <xdr:col>1</xdr:col>
      <xdr:colOff>66676</xdr:colOff>
      <xdr:row>19</xdr:row>
      <xdr:rowOff>47624</xdr:rowOff>
    </xdr:from>
    <xdr:to>
      <xdr:col>3</xdr:col>
      <xdr:colOff>285751</xdr:colOff>
      <xdr:row>20</xdr:row>
      <xdr:rowOff>66674</xdr:rowOff>
    </xdr:to>
    <xdr:sp macro="" textlink="">
      <xdr:nvSpPr>
        <xdr:cNvPr id="15" name="TextBox 14">
          <a:extLst>
            <a:ext uri="{FF2B5EF4-FFF2-40B4-BE49-F238E27FC236}">
              <a16:creationId xmlns:a16="http://schemas.microsoft.com/office/drawing/2014/main" id="{7FFB088E-E311-4A18-9C16-90222AE96771}"/>
            </a:ext>
          </a:extLst>
        </xdr:cNvPr>
        <xdr:cNvSpPr txBox="1"/>
      </xdr:nvSpPr>
      <xdr:spPr>
        <a:xfrm>
          <a:off x="257176" y="3857624"/>
          <a:ext cx="10096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Avg. Rating</a:t>
          </a:r>
        </a:p>
      </xdr:txBody>
    </xdr:sp>
    <xdr:clientData/>
  </xdr:twoCellAnchor>
  <xdr:twoCellAnchor>
    <xdr:from>
      <xdr:col>2</xdr:col>
      <xdr:colOff>180976</xdr:colOff>
      <xdr:row>22</xdr:row>
      <xdr:rowOff>161925</xdr:rowOff>
    </xdr:from>
    <xdr:to>
      <xdr:col>3</xdr:col>
      <xdr:colOff>133351</xdr:colOff>
      <xdr:row>23</xdr:row>
      <xdr:rowOff>85725</xdr:rowOff>
    </xdr:to>
    <xdr:sp macro="" textlink="pivots!D9">
      <xdr:nvSpPr>
        <xdr:cNvPr id="17" name="TextBox 16">
          <a:extLst>
            <a:ext uri="{FF2B5EF4-FFF2-40B4-BE49-F238E27FC236}">
              <a16:creationId xmlns:a16="http://schemas.microsoft.com/office/drawing/2014/main" id="{99F87ACF-96A3-4D00-B2FB-AC1D1553AECD}"/>
            </a:ext>
          </a:extLst>
        </xdr:cNvPr>
        <xdr:cNvSpPr txBox="1"/>
      </xdr:nvSpPr>
      <xdr:spPr>
        <a:xfrm>
          <a:off x="571501" y="4514850"/>
          <a:ext cx="542925" cy="10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170368-8BCE-44DC-AD26-7D112F290147}" type="TxLink">
            <a:rPr lang="en-US" sz="1100" b="0" i="0" u="none" strike="noStrike">
              <a:solidFill>
                <a:schemeClr val="accent6">
                  <a:lumMod val="20000"/>
                  <a:lumOff val="80000"/>
                </a:schemeClr>
              </a:solidFill>
              <a:latin typeface="Aptos Narrow"/>
            </a:rPr>
            <a:pPr/>
            <a:t>3.9</a:t>
          </a:fld>
          <a:endParaRPr lang="en-US" sz="1100" b="1">
            <a:solidFill>
              <a:schemeClr val="accent6">
                <a:lumMod val="20000"/>
                <a:lumOff val="80000"/>
              </a:schemeClr>
            </a:solidFill>
          </a:endParaRPr>
        </a:p>
      </xdr:txBody>
    </xdr:sp>
    <xdr:clientData/>
  </xdr:twoCellAnchor>
  <xdr:twoCellAnchor>
    <xdr:from>
      <xdr:col>0</xdr:col>
      <xdr:colOff>142875</xdr:colOff>
      <xdr:row>24</xdr:row>
      <xdr:rowOff>152400</xdr:rowOff>
    </xdr:from>
    <xdr:to>
      <xdr:col>3</xdr:col>
      <xdr:colOff>371475</xdr:colOff>
      <xdr:row>29</xdr:row>
      <xdr:rowOff>133350</xdr:rowOff>
    </xdr:to>
    <xdr:sp macro="" textlink="pivots!E4">
      <xdr:nvSpPr>
        <xdr:cNvPr id="22" name="Rectangle 21">
          <a:extLst>
            <a:ext uri="{FF2B5EF4-FFF2-40B4-BE49-F238E27FC236}">
              <a16:creationId xmlns:a16="http://schemas.microsoft.com/office/drawing/2014/main" id="{A0E8D761-CD86-4ADB-95B2-50D72B069B22}"/>
            </a:ext>
          </a:extLst>
        </xdr:cNvPr>
        <xdr:cNvSpPr/>
      </xdr:nvSpPr>
      <xdr:spPr>
        <a:xfrm>
          <a:off x="142875" y="4867275"/>
          <a:ext cx="1209675" cy="8858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A4DBD6-7DCB-43DE-BC17-87D72BFCF992}" type="TxLink">
            <a:rPr lang="en-US" sz="2400" b="1" i="0" u="none" strike="noStrike">
              <a:solidFill>
                <a:schemeClr val="bg1"/>
              </a:solidFill>
              <a:latin typeface="Aptos Narrow"/>
            </a:rPr>
            <a:pPr algn="ctr"/>
            <a:t>307</a:t>
          </a:fld>
          <a:endParaRPr lang="en-US" sz="2400" b="1">
            <a:solidFill>
              <a:schemeClr val="bg1"/>
            </a:solidFill>
            <a:latin typeface="Aptos Display" panose="020B0004020202020204" pitchFamily="34" charset="0"/>
          </a:endParaRPr>
        </a:p>
      </xdr:txBody>
    </xdr:sp>
    <xdr:clientData/>
  </xdr:twoCellAnchor>
  <xdr:twoCellAnchor>
    <xdr:from>
      <xdr:col>1</xdr:col>
      <xdr:colOff>133351</xdr:colOff>
      <xdr:row>25</xdr:row>
      <xdr:rowOff>38099</xdr:rowOff>
    </xdr:from>
    <xdr:to>
      <xdr:col>3</xdr:col>
      <xdr:colOff>352426</xdr:colOff>
      <xdr:row>26</xdr:row>
      <xdr:rowOff>57149</xdr:rowOff>
    </xdr:to>
    <xdr:sp macro="" textlink="">
      <xdr:nvSpPr>
        <xdr:cNvPr id="23" name="TextBox 22">
          <a:extLst>
            <a:ext uri="{FF2B5EF4-FFF2-40B4-BE49-F238E27FC236}">
              <a16:creationId xmlns:a16="http://schemas.microsoft.com/office/drawing/2014/main" id="{C8A830BB-4035-4CED-B238-3B83E290076E}"/>
            </a:ext>
          </a:extLst>
        </xdr:cNvPr>
        <xdr:cNvSpPr txBox="1"/>
      </xdr:nvSpPr>
      <xdr:spPr>
        <a:xfrm>
          <a:off x="323851" y="4933949"/>
          <a:ext cx="10096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Happy Callers</a:t>
          </a:r>
        </a:p>
      </xdr:txBody>
    </xdr:sp>
    <xdr:clientData/>
  </xdr:twoCellAnchor>
  <xdr:twoCellAnchor>
    <xdr:from>
      <xdr:col>2</xdr:col>
      <xdr:colOff>180976</xdr:colOff>
      <xdr:row>28</xdr:row>
      <xdr:rowOff>152400</xdr:rowOff>
    </xdr:from>
    <xdr:to>
      <xdr:col>3</xdr:col>
      <xdr:colOff>133351</xdr:colOff>
      <xdr:row>29</xdr:row>
      <xdr:rowOff>76200</xdr:rowOff>
    </xdr:to>
    <xdr:sp macro="" textlink="pivots!E9">
      <xdr:nvSpPr>
        <xdr:cNvPr id="25" name="TextBox 24">
          <a:extLst>
            <a:ext uri="{FF2B5EF4-FFF2-40B4-BE49-F238E27FC236}">
              <a16:creationId xmlns:a16="http://schemas.microsoft.com/office/drawing/2014/main" id="{2545D1BD-722F-4E9A-9B38-43095246E845}"/>
            </a:ext>
          </a:extLst>
        </xdr:cNvPr>
        <xdr:cNvSpPr txBox="1"/>
      </xdr:nvSpPr>
      <xdr:spPr>
        <a:xfrm>
          <a:off x="571501" y="5591175"/>
          <a:ext cx="542925" cy="10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F67A420-DAFF-4656-8BCF-FDE17763290C}" type="TxLink">
            <a:rPr lang="en-US" sz="1100" b="0" i="0" u="none" strike="noStrike">
              <a:solidFill>
                <a:schemeClr val="accent6">
                  <a:lumMod val="20000"/>
                  <a:lumOff val="80000"/>
                </a:schemeClr>
              </a:solidFill>
              <a:latin typeface="Aptos Narrow"/>
            </a:rPr>
            <a:pPr/>
            <a:t>74</a:t>
          </a:fld>
          <a:endParaRPr lang="en-US" sz="1100" b="1">
            <a:solidFill>
              <a:schemeClr val="accent6">
                <a:lumMod val="20000"/>
                <a:lumOff val="80000"/>
              </a:schemeClr>
            </a:solidFill>
          </a:endParaRPr>
        </a:p>
      </xdr:txBody>
    </xdr:sp>
    <xdr:clientData/>
  </xdr:twoCellAnchor>
  <xdr:twoCellAnchor editAs="oneCell">
    <xdr:from>
      <xdr:col>1</xdr:col>
      <xdr:colOff>23813</xdr:colOff>
      <xdr:row>7</xdr:row>
      <xdr:rowOff>71438</xdr:rowOff>
    </xdr:from>
    <xdr:to>
      <xdr:col>1</xdr:col>
      <xdr:colOff>325438</xdr:colOff>
      <xdr:row>8</xdr:row>
      <xdr:rowOff>158880</xdr:rowOff>
    </xdr:to>
    <xdr:pic>
      <xdr:nvPicPr>
        <xdr:cNvPr id="26" name="Graphic 25" descr="Shopping cart with solid fill">
          <a:extLst>
            <a:ext uri="{FF2B5EF4-FFF2-40B4-BE49-F238E27FC236}">
              <a16:creationId xmlns:a16="http://schemas.microsoft.com/office/drawing/2014/main" id="{972D8473-348F-45B6-BDC0-43BA2C9320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4313" y="1709738"/>
          <a:ext cx="285750" cy="268417"/>
        </a:xfrm>
        <a:prstGeom prst="rect">
          <a:avLst/>
        </a:prstGeom>
      </xdr:spPr>
    </xdr:pic>
    <xdr:clientData/>
  </xdr:twoCellAnchor>
  <xdr:twoCellAnchor editAs="oneCell">
    <xdr:from>
      <xdr:col>0</xdr:col>
      <xdr:colOff>185738</xdr:colOff>
      <xdr:row>25</xdr:row>
      <xdr:rowOff>23814</xdr:rowOff>
    </xdr:from>
    <xdr:to>
      <xdr:col>1</xdr:col>
      <xdr:colOff>279124</xdr:colOff>
      <xdr:row>26</xdr:row>
      <xdr:rowOff>100013</xdr:rowOff>
    </xdr:to>
    <xdr:pic>
      <xdr:nvPicPr>
        <xdr:cNvPr id="27" name="Graphic 26" descr="Star-struck face outline with solid fill">
          <a:extLst>
            <a:ext uri="{FF2B5EF4-FFF2-40B4-BE49-F238E27FC236}">
              <a16:creationId xmlns:a16="http://schemas.microsoft.com/office/drawing/2014/main" id="{0747A5D7-F95B-4C36-84E7-126F66D13C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5738" y="4919664"/>
          <a:ext cx="268011" cy="257174"/>
        </a:xfrm>
        <a:prstGeom prst="rect">
          <a:avLst/>
        </a:prstGeom>
      </xdr:spPr>
    </xdr:pic>
    <xdr:clientData/>
  </xdr:twoCellAnchor>
  <xdr:twoCellAnchor editAs="oneCell">
    <xdr:from>
      <xdr:col>1</xdr:col>
      <xdr:colOff>19050</xdr:colOff>
      <xdr:row>19</xdr:row>
      <xdr:rowOff>28576</xdr:rowOff>
    </xdr:from>
    <xdr:to>
      <xdr:col>1</xdr:col>
      <xdr:colOff>288001</xdr:colOff>
      <xdr:row>20</xdr:row>
      <xdr:rowOff>90489</xdr:rowOff>
    </xdr:to>
    <xdr:pic>
      <xdr:nvPicPr>
        <xdr:cNvPr id="28" name="Graphic 27" descr="Rating Star with solid fill">
          <a:extLst>
            <a:ext uri="{FF2B5EF4-FFF2-40B4-BE49-F238E27FC236}">
              <a16:creationId xmlns:a16="http://schemas.microsoft.com/office/drawing/2014/main" id="{ADBCE9A0-055C-45AD-9703-5C75CEA003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09550" y="3838576"/>
          <a:ext cx="253076" cy="242888"/>
        </a:xfrm>
        <a:prstGeom prst="rect">
          <a:avLst/>
        </a:prstGeom>
      </xdr:spPr>
    </xdr:pic>
    <xdr:clientData/>
  </xdr:twoCellAnchor>
  <xdr:twoCellAnchor editAs="oneCell">
    <xdr:from>
      <xdr:col>0</xdr:col>
      <xdr:colOff>180975</xdr:colOff>
      <xdr:row>13</xdr:row>
      <xdr:rowOff>76200</xdr:rowOff>
    </xdr:from>
    <xdr:to>
      <xdr:col>1</xdr:col>
      <xdr:colOff>239713</xdr:colOff>
      <xdr:row>14</xdr:row>
      <xdr:rowOff>123870</xdr:rowOff>
    </xdr:to>
    <xdr:pic>
      <xdr:nvPicPr>
        <xdr:cNvPr id="29" name="Graphic 28" descr="Hourglass Finished with solid fill">
          <a:extLst>
            <a:ext uri="{FF2B5EF4-FFF2-40B4-BE49-F238E27FC236}">
              <a16:creationId xmlns:a16="http://schemas.microsoft.com/office/drawing/2014/main" id="{3B8B393A-FCD2-413E-A8B5-2332498074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0975" y="2800350"/>
          <a:ext cx="233363" cy="228645"/>
        </a:xfrm>
        <a:prstGeom prst="rect">
          <a:avLst/>
        </a:prstGeom>
      </xdr:spPr>
    </xdr:pic>
    <xdr:clientData/>
  </xdr:twoCellAnchor>
  <xdr:twoCellAnchor editAs="oneCell">
    <xdr:from>
      <xdr:col>13</xdr:col>
      <xdr:colOff>152400</xdr:colOff>
      <xdr:row>13</xdr:row>
      <xdr:rowOff>95250</xdr:rowOff>
    </xdr:from>
    <xdr:to>
      <xdr:col>15</xdr:col>
      <xdr:colOff>26988</xdr:colOff>
      <xdr:row>22</xdr:row>
      <xdr:rowOff>119063</xdr:rowOff>
    </xdr:to>
    <mc:AlternateContent xmlns:mc="http://schemas.openxmlformats.org/markup-compatibility/2006" xmlns:a14="http://schemas.microsoft.com/office/drawing/2010/main">
      <mc:Choice Requires="a14">
        <xdr:graphicFrame macro="">
          <xdr:nvGraphicFramePr>
            <xdr:cNvPr id="30" name="Representative ">
              <a:extLst>
                <a:ext uri="{FF2B5EF4-FFF2-40B4-BE49-F238E27FC236}">
                  <a16:creationId xmlns:a16="http://schemas.microsoft.com/office/drawing/2014/main" id="{B0425434-6FDD-4D34-8CEC-82074634D4F6}"/>
                </a:ext>
              </a:extLst>
            </xdr:cNvPr>
            <xdr:cNvGraphicFramePr/>
          </xdr:nvGraphicFramePr>
          <xdr:xfrm>
            <a:off x="0" y="0"/>
            <a:ext cx="0" cy="0"/>
          </xdr:xfrm>
          <a:graphic>
            <a:graphicData uri="http://schemas.microsoft.com/office/drawing/2010/slicer">
              <sle:slicer xmlns:sle="http://schemas.microsoft.com/office/drawing/2010/slicer" name="Representative "/>
            </a:graphicData>
          </a:graphic>
        </xdr:graphicFrame>
      </mc:Choice>
      <mc:Fallback xmlns="">
        <xdr:sp macro="" textlink="">
          <xdr:nvSpPr>
            <xdr:cNvPr id="0" name=""/>
            <xdr:cNvSpPr>
              <a:spLocks noTextEdit="1"/>
            </xdr:cNvSpPr>
          </xdr:nvSpPr>
          <xdr:spPr>
            <a:xfrm>
              <a:off x="6467475" y="2819400"/>
              <a:ext cx="1309688" cy="165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xdr:colOff>
      <xdr:row>1</xdr:row>
      <xdr:rowOff>38100</xdr:rowOff>
    </xdr:from>
    <xdr:to>
      <xdr:col>12</xdr:col>
      <xdr:colOff>138113</xdr:colOff>
      <xdr:row>12</xdr:row>
      <xdr:rowOff>71438</xdr:rowOff>
    </xdr:to>
    <xdr:graphicFrame macro="">
      <xdr:nvGraphicFramePr>
        <xdr:cNvPr id="31" name="Chart 30">
          <a:extLst>
            <a:ext uri="{FF2B5EF4-FFF2-40B4-BE49-F238E27FC236}">
              <a16:creationId xmlns:a16="http://schemas.microsoft.com/office/drawing/2014/main" id="{0E2F891B-948E-48D5-A1DC-0EE6651EE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238126</xdr:colOff>
      <xdr:row>2</xdr:row>
      <xdr:rowOff>52388</xdr:rowOff>
    </xdr:from>
    <xdr:to>
      <xdr:col>14</xdr:col>
      <xdr:colOff>338138</xdr:colOff>
      <xdr:row>11</xdr:row>
      <xdr:rowOff>33338</xdr:rowOff>
    </xdr:to>
    <xdr:graphicFrame macro="">
      <xdr:nvGraphicFramePr>
        <xdr:cNvPr id="32" name="Chart 31">
          <a:extLst>
            <a:ext uri="{FF2B5EF4-FFF2-40B4-BE49-F238E27FC236}">
              <a16:creationId xmlns:a16="http://schemas.microsoft.com/office/drawing/2014/main" id="{B475A137-57FF-4B68-B82A-614C7A226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42863</xdr:colOff>
      <xdr:row>13</xdr:row>
      <xdr:rowOff>100013</xdr:rowOff>
    </xdr:from>
    <xdr:to>
      <xdr:col>13</xdr:col>
      <xdr:colOff>267</xdr:colOff>
      <xdr:row>29</xdr:row>
      <xdr:rowOff>4763</xdr:rowOff>
    </xdr:to>
    <xdr:sp macro="" textlink="">
      <xdr:nvSpPr>
        <xdr:cNvPr id="35" name="Rectangle 34">
          <a:extLst>
            <a:ext uri="{FF2B5EF4-FFF2-40B4-BE49-F238E27FC236}">
              <a16:creationId xmlns:a16="http://schemas.microsoft.com/office/drawing/2014/main" id="{58BFF445-9412-A14B-D0F7-F03448010081}"/>
            </a:ext>
          </a:extLst>
        </xdr:cNvPr>
        <xdr:cNvSpPr/>
      </xdr:nvSpPr>
      <xdr:spPr>
        <a:xfrm>
          <a:off x="1671638" y="2824163"/>
          <a:ext cx="4643704" cy="280035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271463</xdr:colOff>
      <xdr:row>13</xdr:row>
      <xdr:rowOff>176213</xdr:rowOff>
    </xdr:from>
    <xdr:to>
      <xdr:col>12</xdr:col>
      <xdr:colOff>557213</xdr:colOff>
      <xdr:row>29</xdr:row>
      <xdr:rowOff>152400</xdr:rowOff>
    </xdr:to>
    <xdr:graphicFrame macro="">
      <xdr:nvGraphicFramePr>
        <xdr:cNvPr id="33" name="Chart 32">
          <a:extLst>
            <a:ext uri="{FF2B5EF4-FFF2-40B4-BE49-F238E27FC236}">
              <a16:creationId xmlns:a16="http://schemas.microsoft.com/office/drawing/2014/main" id="{0B52F0FD-D50E-48AC-B475-E4B0EA0E4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200025</xdr:colOff>
      <xdr:row>13</xdr:row>
      <xdr:rowOff>166689</xdr:rowOff>
    </xdr:from>
    <xdr:to>
      <xdr:col>9</xdr:col>
      <xdr:colOff>585788</xdr:colOff>
      <xdr:row>29</xdr:row>
      <xdr:rowOff>90489</xdr:rowOff>
    </xdr:to>
    <xdr:graphicFrame macro="">
      <xdr:nvGraphicFramePr>
        <xdr:cNvPr id="34" name="Chart 33">
          <a:extLst>
            <a:ext uri="{FF2B5EF4-FFF2-40B4-BE49-F238E27FC236}">
              <a16:creationId xmlns:a16="http://schemas.microsoft.com/office/drawing/2014/main" id="{94086D79-8EB5-4049-B7DB-C12B45A55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100012</xdr:colOff>
      <xdr:row>1</xdr:row>
      <xdr:rowOff>28575</xdr:rowOff>
    </xdr:from>
    <xdr:to>
      <xdr:col>19</xdr:col>
      <xdr:colOff>376237</xdr:colOff>
      <xdr:row>12</xdr:row>
      <xdr:rowOff>119063</xdr:rowOff>
    </xdr:to>
    <xdr:graphicFrame macro="">
      <xdr:nvGraphicFramePr>
        <xdr:cNvPr id="36" name="Chart 35">
          <a:extLst>
            <a:ext uri="{FF2B5EF4-FFF2-40B4-BE49-F238E27FC236}">
              <a16:creationId xmlns:a16="http://schemas.microsoft.com/office/drawing/2014/main" id="{63AED9FD-02BC-4634-9DE4-4460BF5AE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485775</xdr:colOff>
      <xdr:row>1</xdr:row>
      <xdr:rowOff>9525</xdr:rowOff>
    </xdr:from>
    <xdr:to>
      <xdr:col>24</xdr:col>
      <xdr:colOff>166688</xdr:colOff>
      <xdr:row>12</xdr:row>
      <xdr:rowOff>100013</xdr:rowOff>
    </xdr:to>
    <xdr:graphicFrame macro="">
      <xdr:nvGraphicFramePr>
        <xdr:cNvPr id="37" name="Chart 36">
          <a:extLst>
            <a:ext uri="{FF2B5EF4-FFF2-40B4-BE49-F238E27FC236}">
              <a16:creationId xmlns:a16="http://schemas.microsoft.com/office/drawing/2014/main" id="{9F385AC7-BFA6-4567-B80B-963BC0798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ti Gupta" refreshedDate="46198.184918402774" createdVersion="8" refreshedVersion="8" minRefreshableVersion="3" recordCount="1000" xr:uid="{DB552A83-A5A6-485F-A014-3FD9F31122D0}">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187854629628" backgroundQuery="1" createdVersion="8" refreshedVersion="8" minRefreshableVersion="3" recordCount="0" supportSubquery="1" supportAdvancedDrill="1" xr:uid="{77CAE239-B68D-4B60-B5E9-5CA8333E99F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077553009258" backgroundQuery="1" createdVersion="8" refreshedVersion="8" minRefreshableVersion="3" recordCount="0" supportSubquery="1" supportAdvancedDrill="1" xr:uid="{62A5B85D-14B0-4E44-8C62-67AE69BD4A10}">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048309143516" backgroundQuery="1" createdVersion="8" refreshedVersion="8" minRefreshableVersion="3" recordCount="0" supportSubquery="1" supportAdvancedDrill="1" xr:uid="{37D27500-E1EE-4199-AF7D-6F3E3F9A40D7}">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0517951389" backgroundQuery="1" createdVersion="8" refreshedVersion="8" minRefreshableVersion="3" recordCount="0" supportSubquery="1" supportAdvancedDrill="1" xr:uid="{27C05D4A-813D-4B53-9F34-DB1C1550840E}">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30388425924" backgroundQuery="1" createdVersion="8" refreshedVersion="8" minRefreshableVersion="3" recordCount="0" supportSubquery="1" supportAdvancedDrill="1" xr:uid="{9BDBADAD-F6F2-482B-AC57-1C277E50828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30388773147" backgroundQuery="1" createdVersion="8" refreshedVersion="8" minRefreshableVersion="3" recordCount="0" supportSubquery="1" supportAdvancedDrill="1" xr:uid="{95304945-D89D-4DCA-89E8-8A7908B9C48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3038912037" backgroundQuery="1" createdVersion="8" refreshedVersion="8" minRefreshableVersion="3" recordCount="0" supportSubquery="1" supportAdvancedDrill="1" xr:uid="{25FEE122-2F9D-4A85-B89C-77A02D116167}">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30389583332" backgroundQuery="1" createdVersion="8" refreshedVersion="8" minRefreshableVersion="3" recordCount="0" supportSubquery="1" supportAdvancedDrill="1" xr:uid="{FA549681-D0F7-4BDC-B2AA-C2A98D1D2F7B}">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230389930555" backgroundQuery="1" createdVersion="8" refreshedVersion="8" minRefreshableVersion="3" recordCount="0" supportSubquery="1" supportAdvancedDrill="1" xr:uid="{66C52F8B-7503-4AA3-BBA8-790EC97C2DB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ti Gupta" refreshedDate="46198.048305555552" backgroundQuery="1" createdVersion="3" refreshedVersion="8" minRefreshableVersion="3" recordCount="0" supportSubquery="1" supportAdvancedDrill="1" xr:uid="{8F4CEEB9-DA78-48EE-8693-2E8484456B3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43262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s v="R05"/>
    <d v="2023-01-01T00:00:00"/>
    <n v="128"/>
    <n v="4.9000000000000004"/>
    <n v="2023"/>
    <s v="Sunday"/>
    <s v="1 to 2 hours"/>
    <n v="5"/>
  </r>
  <r>
    <s v="Call_7272"/>
    <s v="C0004"/>
    <n v="119"/>
    <s v="R05"/>
    <d v="2023-01-01T00:00:00"/>
    <n v="135"/>
    <n v="2.9"/>
    <n v="2023"/>
    <s v="Sunday"/>
    <s v="1 to 2 hours"/>
    <n v="3"/>
  </r>
  <r>
    <s v="Call_7273"/>
    <s v="C0005"/>
    <n v="68"/>
    <s v="R02"/>
    <d v="2023-01-01T00:00:00"/>
    <n v="66"/>
    <n v="4.7"/>
    <n v="2023"/>
    <s v="Sunday"/>
    <s v="1 to 2 hours"/>
    <n v="5"/>
  </r>
  <r>
    <s v="Call_7274"/>
    <s v="C0014"/>
    <n v="119"/>
    <s v="R02"/>
    <d v="2023-01-01T00:00:00"/>
    <n v="22"/>
    <n v="2.9"/>
    <n v="2023"/>
    <s v="Sunday"/>
    <s v="1 to 2 hours"/>
    <n v="3"/>
  </r>
  <r>
    <s v="Call_7275"/>
    <s v="C0011"/>
    <n v="128"/>
    <s v="R01"/>
    <d v="2023-01-02T00:00:00"/>
    <n v="31"/>
    <n v="2.8"/>
    <n v="2023"/>
    <s v="Monday"/>
    <s v="More than 2 hours"/>
    <n v="3"/>
  </r>
  <r>
    <s v="Call_7276"/>
    <s v="C0011"/>
    <n v="49"/>
    <s v="R02"/>
    <d v="2023-01-03T00:00:00"/>
    <n v="135"/>
    <n v="4.8"/>
    <n v="2023"/>
    <s v="Tuesday"/>
    <s v="30 to 60 mins"/>
    <n v="5"/>
  </r>
  <r>
    <s v="Call_7277"/>
    <s v="C0007"/>
    <n v="84"/>
    <s v="R05"/>
    <d v="2023-01-03T00:00:00"/>
    <n v="60"/>
    <n v="4.7"/>
    <n v="2023"/>
    <s v="Tuesday"/>
    <s v="1 to 2 hours"/>
    <n v="5"/>
  </r>
  <r>
    <s v="Call_7278"/>
    <s v="C0003"/>
    <n v="103"/>
    <s v="R04"/>
    <d v="2023-01-03T00:00:00"/>
    <n v="148"/>
    <n v="4.4000000000000004"/>
    <n v="2023"/>
    <s v="Tuesday"/>
    <s v="1 to 2 hours"/>
    <n v="4"/>
  </r>
  <r>
    <s v="Call_7279"/>
    <s v="C0005"/>
    <n v="31"/>
    <s v="R02"/>
    <d v="2023-01-03T00:00:00"/>
    <n v="135"/>
    <n v="3.6"/>
    <n v="2023"/>
    <s v="Tuesday"/>
    <s v="30 to 60 mins"/>
    <n v="4"/>
  </r>
  <r>
    <s v="Call_7280"/>
    <s v="C0010"/>
    <n v="44"/>
    <s v="R03"/>
    <d v="2023-01-03T00:00:00"/>
    <n v="105"/>
    <n v="2.9"/>
    <n v="2023"/>
    <s v="Tuesday"/>
    <s v="30 to 60 mins"/>
    <n v="3"/>
  </r>
  <r>
    <s v="Call_7281"/>
    <s v="C0011"/>
    <n v="102"/>
    <s v="R02"/>
    <d v="2023-01-03T00:00:00"/>
    <n v="69"/>
    <n v="4.9000000000000004"/>
    <n v="2023"/>
    <s v="Tuesday"/>
    <s v="1 to 2 hours"/>
    <n v="5"/>
  </r>
  <r>
    <s v="Call_7282"/>
    <s v="C0013"/>
    <n v="135"/>
    <s v="R05"/>
    <d v="2023-01-03T00:00:00"/>
    <n v="46"/>
    <n v="3.4"/>
    <n v="2023"/>
    <s v="Tuesday"/>
    <s v="More than 2 hours"/>
    <n v="3"/>
  </r>
  <r>
    <s v="Call_7283"/>
    <s v="C0002"/>
    <n v="98"/>
    <s v="R02"/>
    <d v="2023-01-04T00:00:00"/>
    <n v="108"/>
    <n v="3.5"/>
    <n v="2023"/>
    <s v="Wednesday"/>
    <s v="1 to 2 hours"/>
    <n v="4"/>
  </r>
  <r>
    <s v="Call_7284"/>
    <s v="C0010"/>
    <n v="139"/>
    <s v="R02"/>
    <d v="2023-01-04T00:00:00"/>
    <n v="96"/>
    <n v="4"/>
    <n v="2023"/>
    <s v="Wednesday"/>
    <s v="More than 2 hours"/>
    <n v="4"/>
  </r>
  <r>
    <s v="Call_7285"/>
    <s v="C0013"/>
    <n v="48"/>
    <s v="R01"/>
    <d v="2023-01-04T00:00:00"/>
    <n v="68"/>
    <n v="4.9000000000000004"/>
    <n v="2023"/>
    <s v="Wednesday"/>
    <s v="30 to 60 mins"/>
    <n v="5"/>
  </r>
  <r>
    <s v="Call_7286"/>
    <s v="C0010"/>
    <n v="176"/>
    <s v="R05"/>
    <d v="2023-01-05T00:00:00"/>
    <n v="24"/>
    <n v="4.8"/>
    <n v="2023"/>
    <s v="Thursday"/>
    <s v="More than 2 hours"/>
    <n v="5"/>
  </r>
  <r>
    <s v="Call_7287"/>
    <s v="C0010"/>
    <n v="99"/>
    <s v="R01"/>
    <d v="2023-01-05T00:00:00"/>
    <n v="195"/>
    <n v="3.9"/>
    <n v="2023"/>
    <s v="Thursday"/>
    <s v="1 to 2 hours"/>
    <n v="4"/>
  </r>
  <r>
    <s v="Call_7288"/>
    <s v="C0009"/>
    <n v="28"/>
    <s v="R03"/>
    <d v="2023-01-05T00:00:00"/>
    <n v="28"/>
    <n v="3.8"/>
    <n v="2023"/>
    <s v="Thursday"/>
    <s v="10 to 30 mins"/>
    <n v="4"/>
  </r>
  <r>
    <s v="Call_7289"/>
    <s v="C0007"/>
    <n v="54"/>
    <s v="R02"/>
    <d v="2023-01-05T00:00:00"/>
    <n v="170"/>
    <n v="4.3"/>
    <n v="2023"/>
    <s v="Thursday"/>
    <s v="30 to 60 mins"/>
    <n v="4"/>
  </r>
  <r>
    <s v="Call_7290"/>
    <s v="C0006"/>
    <n v="48"/>
    <s v="R05"/>
    <d v="2023-01-06T00:00:00"/>
    <n v="30"/>
    <n v="4.4000000000000004"/>
    <n v="2023"/>
    <s v="Friday"/>
    <s v="30 to 60 mins"/>
    <n v="4"/>
  </r>
  <r>
    <s v="Call_7291"/>
    <s v="C0004"/>
    <n v="128"/>
    <s v="R05"/>
    <d v="2023-01-06T00:00:00"/>
    <n v="72"/>
    <n v="5"/>
    <n v="2023"/>
    <s v="Friday"/>
    <s v="More than 2 hours"/>
    <n v="5"/>
  </r>
  <r>
    <s v="Call_7292"/>
    <s v="C0004"/>
    <n v="38"/>
    <s v="R04"/>
    <d v="2023-01-07T00:00:00"/>
    <n v="92"/>
    <n v="4.9000000000000004"/>
    <n v="2023"/>
    <s v="Saturday"/>
    <s v="30 to 60 mins"/>
    <n v="5"/>
  </r>
  <r>
    <s v="Call_7293"/>
    <s v="C0003"/>
    <n v="67"/>
    <s v="R04"/>
    <d v="2023-01-08T00:00:00"/>
    <n v="165"/>
    <n v="4.5"/>
    <n v="2023"/>
    <s v="Sunday"/>
    <s v="1 to 2 hours"/>
    <n v="5"/>
  </r>
  <r>
    <s v="Call_7294"/>
    <s v="C0015"/>
    <n v="58"/>
    <s v="R02"/>
    <d v="2023-01-08T00:00:00"/>
    <n v="140"/>
    <n v="2.1"/>
    <n v="2023"/>
    <s v="Sunday"/>
    <s v="30 to 60 mins"/>
    <n v="2"/>
  </r>
  <r>
    <s v="Call_7295"/>
    <s v="C0010"/>
    <n v="54"/>
    <s v="R01"/>
    <d v="2023-01-08T00:00:00"/>
    <n v="111"/>
    <n v="3.3"/>
    <n v="2023"/>
    <s v="Sunday"/>
    <s v="30 to 60 mins"/>
    <n v="3"/>
  </r>
  <r>
    <s v="Call_7296"/>
    <s v="C0012"/>
    <n v="28"/>
    <s v="R05"/>
    <d v="2023-01-09T00:00:00"/>
    <n v="63"/>
    <n v="4.0999999999999996"/>
    <n v="2023"/>
    <s v="Monday"/>
    <s v="10 to 30 mins"/>
    <n v="4"/>
  </r>
  <r>
    <s v="Call_7297"/>
    <s v="C0002"/>
    <n v="73"/>
    <s v="R05"/>
    <d v="2023-01-09T00:00:00"/>
    <n v="80"/>
    <n v="4.2"/>
    <n v="2023"/>
    <s v="Monday"/>
    <s v="1 to 2 hours"/>
    <n v="4"/>
  </r>
  <r>
    <s v="Call_7298"/>
    <s v="C0011"/>
    <n v="81"/>
    <s v="R05"/>
    <d v="2023-01-10T00:00:00"/>
    <n v="50"/>
    <n v="4.5999999999999996"/>
    <n v="2023"/>
    <s v="Tuesday"/>
    <s v="1 to 2 hours"/>
    <n v="5"/>
  </r>
  <r>
    <s v="Call_7299"/>
    <s v="C0009"/>
    <n v="31"/>
    <s v="R04"/>
    <d v="2023-01-10T00:00:00"/>
    <n v="123"/>
    <n v="2.9"/>
    <n v="2023"/>
    <s v="Tuesday"/>
    <s v="30 to 60 mins"/>
    <n v="3"/>
  </r>
  <r>
    <s v="Call_7300"/>
    <s v="C0015"/>
    <n v="155"/>
    <s v="R01"/>
    <d v="2023-01-10T00:00:00"/>
    <n v="110"/>
    <n v="4.8"/>
    <n v="2023"/>
    <s v="Tuesday"/>
    <s v="More than 2 hours"/>
    <n v="5"/>
  </r>
  <r>
    <s v="Call_7301"/>
    <s v="C0009"/>
    <n v="80"/>
    <s v="R05"/>
    <d v="2023-01-10T00:00:00"/>
    <n v="140"/>
    <n v="4.2"/>
    <n v="2023"/>
    <s v="Tuesday"/>
    <s v="1 to 2 hours"/>
    <n v="4"/>
  </r>
  <r>
    <s v="Call_7302"/>
    <s v="C0011"/>
    <n v="82"/>
    <s v="R05"/>
    <d v="2023-01-12T00:00:00"/>
    <n v="42"/>
    <n v="3.7"/>
    <n v="2023"/>
    <s v="Thursday"/>
    <s v="1 to 2 hours"/>
    <n v="4"/>
  </r>
  <r>
    <s v="Call_7303"/>
    <s v="C0011"/>
    <n v="29"/>
    <s v="R01"/>
    <d v="2023-01-12T00:00:00"/>
    <n v="170"/>
    <n v="5"/>
    <n v="2023"/>
    <s v="Thursday"/>
    <s v="10 to 30 mins"/>
    <n v="5"/>
  </r>
  <r>
    <s v="Call_7304"/>
    <s v="C0006"/>
    <n v="160"/>
    <s v="R02"/>
    <d v="2023-01-14T00:00:00"/>
    <n v="105"/>
    <n v="5"/>
    <n v="2023"/>
    <s v="Saturday"/>
    <s v="More than 2 hours"/>
    <n v="5"/>
  </r>
  <r>
    <s v="Call_7305"/>
    <s v="C0001"/>
    <n v="105"/>
    <s v="R05"/>
    <d v="2023-01-15T00:00:00"/>
    <n v="125"/>
    <n v="4.8"/>
    <n v="2023"/>
    <s v="Sunday"/>
    <s v="1 to 2 hours"/>
    <n v="5"/>
  </r>
  <r>
    <s v="Call_7306"/>
    <s v="C0009"/>
    <n v="75"/>
    <s v="R03"/>
    <d v="2023-01-15T00:00:00"/>
    <n v="26"/>
    <n v="2.4"/>
    <n v="2023"/>
    <s v="Sunday"/>
    <s v="1 to 2 hours"/>
    <n v="2"/>
  </r>
  <r>
    <s v="Call_7307"/>
    <s v="C0015"/>
    <n v="94"/>
    <s v="R03"/>
    <d v="2023-01-16T00:00:00"/>
    <n v="120"/>
    <n v="3.1"/>
    <n v="2023"/>
    <s v="Monday"/>
    <s v="1 to 2 hours"/>
    <n v="3"/>
  </r>
  <r>
    <s v="Call_7308"/>
    <s v="C0004"/>
    <n v="90"/>
    <s v="R02"/>
    <d v="2023-01-16T00:00:00"/>
    <n v="132"/>
    <n v="3.2"/>
    <n v="2023"/>
    <s v="Monday"/>
    <s v="1 to 2 hours"/>
    <n v="3"/>
  </r>
  <r>
    <s v="Call_7309"/>
    <s v="C0015"/>
    <n v="81"/>
    <s v="R04"/>
    <d v="2023-01-17T00:00:00"/>
    <n v="86"/>
    <n v="2.4"/>
    <n v="2023"/>
    <s v="Tuesday"/>
    <s v="1 to 2 hours"/>
    <n v="2"/>
  </r>
  <r>
    <s v="Call_7310"/>
    <s v="C0009"/>
    <n v="106"/>
    <s v="R05"/>
    <d v="2023-01-17T00:00:00"/>
    <n v="108"/>
    <n v="5"/>
    <n v="2023"/>
    <s v="Tuesday"/>
    <s v="1 to 2 hours"/>
    <n v="5"/>
  </r>
  <r>
    <s v="Call_7311"/>
    <s v="C0004"/>
    <n v="74"/>
    <s v="R04"/>
    <d v="2023-01-17T00:00:00"/>
    <n v="96"/>
    <n v="4.7"/>
    <n v="2023"/>
    <s v="Tuesday"/>
    <s v="1 to 2 hours"/>
    <n v="5"/>
  </r>
  <r>
    <s v="Call_7312"/>
    <s v="C0010"/>
    <n v="105"/>
    <s v="R02"/>
    <d v="2023-01-18T00:00:00"/>
    <n v="80"/>
    <n v="4.7"/>
    <n v="2023"/>
    <s v="Wednesday"/>
    <s v="1 to 2 hours"/>
    <n v="5"/>
  </r>
  <r>
    <s v="Call_7313"/>
    <s v="C0009"/>
    <n v="89"/>
    <s v="R05"/>
    <d v="2023-01-18T00:00:00"/>
    <n v="155"/>
    <n v="4.0999999999999996"/>
    <n v="2023"/>
    <s v="Wednesday"/>
    <s v="1 to 2 hours"/>
    <n v="4"/>
  </r>
  <r>
    <s v="Call_7314"/>
    <s v="C0013"/>
    <n v="132"/>
    <s v="R03"/>
    <d v="2023-01-18T00:00:00"/>
    <n v="168"/>
    <n v="4.0999999999999996"/>
    <n v="2023"/>
    <s v="Wednesday"/>
    <s v="More than 2 hours"/>
    <n v="4"/>
  </r>
  <r>
    <s v="Call_7315"/>
    <s v="C0001"/>
    <n v="105"/>
    <s v="R01"/>
    <d v="2023-01-18T00:00:00"/>
    <n v="56"/>
    <n v="3.6"/>
    <n v="2023"/>
    <s v="Wednesday"/>
    <s v="1 to 2 hours"/>
    <n v="4"/>
  </r>
  <r>
    <s v="Call_7316"/>
    <s v="C0011"/>
    <n v="13"/>
    <s v="R03"/>
    <d v="2023-01-19T00:00:00"/>
    <n v="32"/>
    <n v="4.4000000000000004"/>
    <n v="2023"/>
    <s v="Thursday"/>
    <s v="10 to 30 mins"/>
    <n v="4"/>
  </r>
  <r>
    <s v="Call_7317"/>
    <s v="C0014"/>
    <n v="131"/>
    <s v="R01"/>
    <d v="2023-01-19T00:00:00"/>
    <n v="78"/>
    <n v="4.4000000000000004"/>
    <n v="2023"/>
    <s v="Thursday"/>
    <s v="More than 2 hours"/>
    <n v="4"/>
  </r>
  <r>
    <s v="Call_7318"/>
    <s v="C0004"/>
    <n v="104"/>
    <s v="R05"/>
    <d v="2023-01-19T00:00:00"/>
    <n v="86"/>
    <n v="4"/>
    <n v="2023"/>
    <s v="Thursday"/>
    <s v="1 to 2 hours"/>
    <n v="4"/>
  </r>
  <r>
    <s v="Call_7319"/>
    <s v="C0003"/>
    <n v="90"/>
    <s v="R02"/>
    <d v="2023-01-20T00:00:00"/>
    <n v="64"/>
    <n v="3.8"/>
    <n v="2023"/>
    <s v="Friday"/>
    <s v="1 to 2 hours"/>
    <n v="4"/>
  </r>
  <r>
    <s v="Call_7320"/>
    <s v="C0012"/>
    <n v="37"/>
    <s v="R02"/>
    <d v="2023-01-20T00:00:00"/>
    <n v="96"/>
    <n v="3.6"/>
    <n v="2023"/>
    <s v="Friday"/>
    <s v="30 to 60 mins"/>
    <n v="4"/>
  </r>
  <r>
    <s v="Call_7321"/>
    <s v="C0002"/>
    <n v="149"/>
    <s v="R01"/>
    <d v="2023-01-20T00:00:00"/>
    <n v="72"/>
    <n v="4.3"/>
    <n v="2023"/>
    <s v="Friday"/>
    <s v="More than 2 hours"/>
    <n v="4"/>
  </r>
  <r>
    <s v="Call_7322"/>
    <s v="C0013"/>
    <n v="100"/>
    <s v="R04"/>
    <d v="2023-01-21T00:00:00"/>
    <n v="135"/>
    <n v="3.8"/>
    <n v="2023"/>
    <s v="Saturday"/>
    <s v="1 to 2 hours"/>
    <n v="4"/>
  </r>
  <r>
    <s v="Call_7323"/>
    <s v="C0013"/>
    <n v="79"/>
    <s v="R03"/>
    <d v="2023-01-21T00:00:00"/>
    <n v="140"/>
    <n v="4.5"/>
    <n v="2023"/>
    <s v="Saturday"/>
    <s v="1 to 2 hours"/>
    <n v="5"/>
  </r>
  <r>
    <s v="Call_7324"/>
    <s v="C0008"/>
    <n v="157"/>
    <s v="R01"/>
    <d v="2023-01-21T00:00:00"/>
    <n v="69"/>
    <n v="4.5"/>
    <n v="2023"/>
    <s v="Saturday"/>
    <s v="More than 2 hours"/>
    <n v="5"/>
  </r>
  <r>
    <s v="Call_7325"/>
    <s v="C0013"/>
    <n v="59"/>
    <s v="R05"/>
    <d v="2023-01-22T00:00:00"/>
    <n v="136"/>
    <n v="4.5999999999999996"/>
    <n v="2023"/>
    <s v="Sunday"/>
    <s v="30 to 60 mins"/>
    <n v="5"/>
  </r>
  <r>
    <s v="Call_7326"/>
    <s v="C0012"/>
    <n v="83"/>
    <s v="R01"/>
    <d v="2023-01-22T00:00:00"/>
    <n v="28"/>
    <n v="4.5"/>
    <n v="2023"/>
    <s v="Sunday"/>
    <s v="1 to 2 hours"/>
    <n v="5"/>
  </r>
  <r>
    <s v="Call_7327"/>
    <s v="C0008"/>
    <n v="58"/>
    <s v="R02"/>
    <d v="2023-01-23T00:00:00"/>
    <n v="135"/>
    <n v="3.3"/>
    <n v="2023"/>
    <s v="Monday"/>
    <s v="30 to 60 mins"/>
    <n v="3"/>
  </r>
  <r>
    <s v="Call_7328"/>
    <s v="C0015"/>
    <n v="118"/>
    <s v="R02"/>
    <d v="2023-01-23T00:00:00"/>
    <n v="126"/>
    <n v="2.2999999999999998"/>
    <n v="2023"/>
    <s v="Monday"/>
    <s v="1 to 2 hours"/>
    <n v="2"/>
  </r>
  <r>
    <s v="Call_7329"/>
    <s v="C0011"/>
    <n v="63"/>
    <s v="R05"/>
    <d v="2023-01-23T00:00:00"/>
    <n v="160"/>
    <n v="4.3"/>
    <n v="2023"/>
    <s v="Monday"/>
    <s v="1 to 2 hours"/>
    <n v="4"/>
  </r>
  <r>
    <s v="Call_7330"/>
    <s v="C0008"/>
    <n v="95"/>
    <s v="R02"/>
    <d v="2023-01-24T00:00:00"/>
    <n v="48"/>
    <n v="4.5999999999999996"/>
    <n v="2023"/>
    <s v="Tuesday"/>
    <s v="1 to 2 hours"/>
    <n v="5"/>
  </r>
  <r>
    <s v="Call_7331"/>
    <s v="C0013"/>
    <n v="74"/>
    <s v="R01"/>
    <d v="2023-01-24T00:00:00"/>
    <n v="66"/>
    <n v="4"/>
    <n v="2023"/>
    <s v="Tuesday"/>
    <s v="1 to 2 hours"/>
    <n v="4"/>
  </r>
  <r>
    <s v="Call_7332"/>
    <s v="C0010"/>
    <n v="130"/>
    <s v="R04"/>
    <d v="2023-01-24T00:00:00"/>
    <n v="126"/>
    <n v="2.5"/>
    <n v="2023"/>
    <s v="Tuesday"/>
    <s v="More than 2 hours"/>
    <n v="3"/>
  </r>
  <r>
    <s v="Call_7333"/>
    <s v="C0015"/>
    <n v="110"/>
    <s v="R03"/>
    <d v="2023-01-24T00:00:00"/>
    <n v="96"/>
    <n v="5"/>
    <n v="2023"/>
    <s v="Tuesday"/>
    <s v="1 to 2 hours"/>
    <n v="5"/>
  </r>
  <r>
    <s v="Call_7334"/>
    <s v="C0013"/>
    <n v="71"/>
    <s v="R05"/>
    <d v="2023-01-25T00:00:00"/>
    <n v="90"/>
    <n v="3.8"/>
    <n v="2023"/>
    <s v="Wednesday"/>
    <s v="1 to 2 hours"/>
    <n v="4"/>
  </r>
  <r>
    <s v="Call_7335"/>
    <s v="C0001"/>
    <n v="147"/>
    <s v="R04"/>
    <d v="2023-01-25T00:00:00"/>
    <n v="105"/>
    <n v="4.4000000000000004"/>
    <n v="2023"/>
    <s v="Wednesday"/>
    <s v="More than 2 hours"/>
    <n v="4"/>
  </r>
  <r>
    <s v="Call_7336"/>
    <s v="C0004"/>
    <n v="69"/>
    <s v="R02"/>
    <d v="2023-01-26T00:00:00"/>
    <n v="40"/>
    <n v="3.8"/>
    <n v="2023"/>
    <s v="Thursday"/>
    <s v="1 to 2 hours"/>
    <n v="4"/>
  </r>
  <r>
    <s v="Call_7337"/>
    <s v="C0015"/>
    <n v="50"/>
    <s v="R05"/>
    <d v="2023-01-26T00:00:00"/>
    <n v="60"/>
    <n v="2"/>
    <n v="2023"/>
    <s v="Thursday"/>
    <s v="30 to 60 mins"/>
    <n v="2"/>
  </r>
  <r>
    <s v="Call_7338"/>
    <s v="C0010"/>
    <n v="124"/>
    <s v="R04"/>
    <d v="2023-01-27T00:00:00"/>
    <n v="215"/>
    <n v="4.0999999999999996"/>
    <n v="2023"/>
    <s v="Friday"/>
    <s v="More than 2 hours"/>
    <n v="4"/>
  </r>
  <r>
    <s v="Call_7339"/>
    <s v="C0005"/>
    <n v="81"/>
    <s v="R01"/>
    <d v="2023-01-27T00:00:00"/>
    <n v="156"/>
    <n v="2.6"/>
    <n v="2023"/>
    <s v="Friday"/>
    <s v="1 to 2 hours"/>
    <n v="3"/>
  </r>
  <r>
    <s v="Call_7340"/>
    <s v="C0006"/>
    <n v="141"/>
    <s v="R03"/>
    <d v="2023-01-27T00:00:00"/>
    <n v="54"/>
    <n v="0"/>
    <n v="2023"/>
    <s v="Friday"/>
    <s v="More than 2 hours"/>
    <n v="0"/>
  </r>
  <r>
    <s v="Call_7341"/>
    <s v="C0006"/>
    <n v="168"/>
    <s v="R03"/>
    <d v="2023-01-28T00:00:00"/>
    <n v="160"/>
    <n v="3.9"/>
    <n v="2023"/>
    <s v="Saturday"/>
    <s v="More than 2 hours"/>
    <n v="4"/>
  </r>
  <r>
    <s v="Call_7342"/>
    <s v="C0001"/>
    <n v="101"/>
    <s v="R01"/>
    <d v="2023-01-28T00:00:00"/>
    <n v="80"/>
    <n v="4.8"/>
    <n v="2023"/>
    <s v="Saturday"/>
    <s v="1 to 2 hours"/>
    <n v="5"/>
  </r>
  <r>
    <s v="Call_7343"/>
    <s v="C0013"/>
    <n v="67"/>
    <s v="R01"/>
    <d v="2023-01-28T00:00:00"/>
    <n v="168"/>
    <n v="2.6"/>
    <n v="2023"/>
    <s v="Saturday"/>
    <s v="1 to 2 hours"/>
    <n v="3"/>
  </r>
  <r>
    <s v="Call_7344"/>
    <s v="C0008"/>
    <n v="114"/>
    <s v="R03"/>
    <d v="2023-01-30T00:00:00"/>
    <n v="42"/>
    <n v="2.6"/>
    <n v="2023"/>
    <s v="Monday"/>
    <s v="1 to 2 hours"/>
    <n v="3"/>
  </r>
  <r>
    <s v="Call_7345"/>
    <s v="C0005"/>
    <n v="42"/>
    <s v="R01"/>
    <d v="2023-01-30T00:00:00"/>
    <n v="205"/>
    <n v="3.6"/>
    <n v="2023"/>
    <s v="Monday"/>
    <s v="30 to 60 mins"/>
    <n v="4"/>
  </r>
  <r>
    <s v="Call_7346"/>
    <s v="C0011"/>
    <n v="69"/>
    <s v="R03"/>
    <d v="2023-01-30T00:00:00"/>
    <n v="108"/>
    <n v="3.3"/>
    <n v="2023"/>
    <s v="Monday"/>
    <s v="1 to 2 hours"/>
    <n v="3"/>
  </r>
  <r>
    <s v="Call_7347"/>
    <s v="C0010"/>
    <n v="145"/>
    <s v="R02"/>
    <d v="2023-01-30T00:00:00"/>
    <n v="78"/>
    <n v="1.9"/>
    <n v="2023"/>
    <s v="Monday"/>
    <s v="More than 2 hours"/>
    <n v="2"/>
  </r>
  <r>
    <s v="Call_7348"/>
    <s v="C0004"/>
    <n v="43"/>
    <s v="R03"/>
    <d v="2023-01-30T00:00:00"/>
    <n v="23"/>
    <n v="4.9000000000000004"/>
    <n v="2023"/>
    <s v="Monday"/>
    <s v="30 to 60 mins"/>
    <n v="5"/>
  </r>
  <r>
    <s v="Call_7349"/>
    <s v="C0011"/>
    <n v="62"/>
    <s v="R05"/>
    <d v="2023-01-31T00:00:00"/>
    <n v="99"/>
    <n v="3.6"/>
    <n v="2023"/>
    <s v="Tuesday"/>
    <s v="1 to 2 hours"/>
    <n v="4"/>
  </r>
  <r>
    <s v="Call_7350"/>
    <s v="C0009"/>
    <n v="79"/>
    <s v="R03"/>
    <d v="2023-02-01T00:00:00"/>
    <n v="148"/>
    <n v="4.5"/>
    <n v="2023"/>
    <s v="Wednesday"/>
    <s v="1 to 2 hours"/>
    <n v="5"/>
  </r>
  <r>
    <s v="Call_7351"/>
    <s v="C0010"/>
    <n v="45"/>
    <s v="R04"/>
    <d v="2023-02-01T00:00:00"/>
    <n v="34"/>
    <n v="3.7"/>
    <n v="2023"/>
    <s v="Wednesday"/>
    <s v="30 to 60 mins"/>
    <n v="4"/>
  </r>
  <r>
    <s v="Call_7352"/>
    <s v="C0011"/>
    <n v="137"/>
    <s v="R03"/>
    <d v="2023-02-01T00:00:00"/>
    <n v="86"/>
    <n v="4.8"/>
    <n v="2023"/>
    <s v="Wednesday"/>
    <s v="More than 2 hours"/>
    <n v="5"/>
  </r>
  <r>
    <s v="Call_7353"/>
    <s v="C0008"/>
    <n v="109"/>
    <s v="R05"/>
    <d v="2023-02-01T00:00:00"/>
    <n v="105"/>
    <n v="3.3"/>
    <n v="2023"/>
    <s v="Wednesday"/>
    <s v="1 to 2 hours"/>
    <n v="3"/>
  </r>
  <r>
    <s v="Call_7354"/>
    <s v="C0004"/>
    <n v="78"/>
    <s v="R05"/>
    <d v="2023-02-01T00:00:00"/>
    <n v="62"/>
    <n v="3.1"/>
    <n v="2023"/>
    <s v="Wednesday"/>
    <s v="1 to 2 hours"/>
    <n v="3"/>
  </r>
  <r>
    <s v="Call_7355"/>
    <s v="C0011"/>
    <n v="137"/>
    <s v="R04"/>
    <d v="2023-02-01T00:00:00"/>
    <n v="90"/>
    <n v="4.0999999999999996"/>
    <n v="2023"/>
    <s v="Wednesday"/>
    <s v="More than 2 hours"/>
    <n v="4"/>
  </r>
  <r>
    <s v="Call_7356"/>
    <s v="C0014"/>
    <n v="99"/>
    <s v="R05"/>
    <d v="2023-02-02T00:00:00"/>
    <n v="112"/>
    <n v="4.9000000000000004"/>
    <n v="2023"/>
    <s v="Thursday"/>
    <s v="1 to 2 hours"/>
    <n v="5"/>
  </r>
  <r>
    <s v="Call_7357"/>
    <s v="C0015"/>
    <n v="100"/>
    <s v="R05"/>
    <d v="2023-02-02T00:00:00"/>
    <n v="135"/>
    <n v="4"/>
    <n v="2023"/>
    <s v="Thursday"/>
    <s v="1 to 2 hours"/>
    <n v="4"/>
  </r>
  <r>
    <s v="Call_7358"/>
    <s v="C0004"/>
    <n v="47"/>
    <s v="R02"/>
    <d v="2023-02-02T00:00:00"/>
    <n v="34"/>
    <n v="2.1"/>
    <n v="2023"/>
    <s v="Thursday"/>
    <s v="30 to 60 mins"/>
    <n v="2"/>
  </r>
  <r>
    <s v="Call_7359"/>
    <s v="C0008"/>
    <n v="87"/>
    <s v="R01"/>
    <d v="2023-02-02T00:00:00"/>
    <n v="155"/>
    <n v="4.5"/>
    <n v="2023"/>
    <s v="Thursday"/>
    <s v="1 to 2 hours"/>
    <n v="5"/>
  </r>
  <r>
    <s v="Call_7360"/>
    <s v="C0014"/>
    <n v="143"/>
    <s v="R01"/>
    <d v="2023-02-04T00:00:00"/>
    <n v="124"/>
    <n v="4.9000000000000004"/>
    <n v="2023"/>
    <s v="Saturday"/>
    <s v="More than 2 hours"/>
    <n v="5"/>
  </r>
  <r>
    <s v="Call_7361"/>
    <s v="C0015"/>
    <n v="84"/>
    <s v="R05"/>
    <d v="2023-02-04T00:00:00"/>
    <n v="195"/>
    <n v="4.0999999999999996"/>
    <n v="2023"/>
    <s v="Saturday"/>
    <s v="1 to 2 hours"/>
    <n v="4"/>
  </r>
  <r>
    <s v="Call_7362"/>
    <s v="C0001"/>
    <n v="55"/>
    <s v="R01"/>
    <d v="2023-02-05T00:00:00"/>
    <n v="78"/>
    <n v="4.5"/>
    <n v="2023"/>
    <s v="Sunday"/>
    <s v="30 to 60 mins"/>
    <n v="5"/>
  </r>
  <r>
    <s v="Call_7363"/>
    <s v="C0007"/>
    <n v="135"/>
    <s v="R04"/>
    <d v="2023-02-07T00:00:00"/>
    <n v="35"/>
    <n v="4.8"/>
    <n v="2023"/>
    <s v="Tuesday"/>
    <s v="More than 2 hours"/>
    <n v="5"/>
  </r>
  <r>
    <s v="Call_7364"/>
    <s v="C0012"/>
    <n v="152"/>
    <s v="R02"/>
    <d v="2023-02-07T00:00:00"/>
    <n v="123"/>
    <n v="4.5999999999999996"/>
    <n v="2023"/>
    <s v="Tuesday"/>
    <s v="More than 2 hours"/>
    <n v="5"/>
  </r>
  <r>
    <s v="Call_7365"/>
    <s v="C0005"/>
    <n v="132"/>
    <s v="R02"/>
    <d v="2023-02-07T00:00:00"/>
    <n v="43"/>
    <n v="4.5999999999999996"/>
    <n v="2023"/>
    <s v="Tuesday"/>
    <s v="More than 2 hours"/>
    <n v="5"/>
  </r>
  <r>
    <s v="Call_7366"/>
    <s v="C0006"/>
    <n v="60"/>
    <s v="R05"/>
    <d v="2023-02-08T00:00:00"/>
    <n v="69"/>
    <n v="4.3"/>
    <n v="2023"/>
    <s v="Wednesday"/>
    <s v="30 to 60 mins"/>
    <n v="4"/>
  </r>
  <r>
    <s v="Call_7367"/>
    <s v="C0012"/>
    <n v="95"/>
    <s v="R02"/>
    <d v="2023-02-08T00:00:00"/>
    <n v="130"/>
    <n v="5"/>
    <n v="2023"/>
    <s v="Wednesday"/>
    <s v="1 to 2 hours"/>
    <n v="5"/>
  </r>
  <r>
    <s v="Call_7368"/>
    <s v="C0003"/>
    <n v="96"/>
    <s v="R03"/>
    <d v="2023-02-08T00:00:00"/>
    <n v="120"/>
    <n v="4"/>
    <n v="2023"/>
    <s v="Wednesday"/>
    <s v="1 to 2 hours"/>
    <n v="4"/>
  </r>
  <r>
    <s v="Call_7369"/>
    <s v="C0001"/>
    <n v="45"/>
    <s v="R05"/>
    <d v="2023-02-09T00:00:00"/>
    <n v="84"/>
    <n v="4.5999999999999996"/>
    <n v="2023"/>
    <s v="Thursday"/>
    <s v="30 to 60 mins"/>
    <n v="5"/>
  </r>
  <r>
    <s v="Call_7370"/>
    <s v="C0003"/>
    <n v="132"/>
    <s v="R03"/>
    <d v="2023-02-10T00:00:00"/>
    <n v="112"/>
    <n v="4.5"/>
    <n v="2023"/>
    <s v="Friday"/>
    <s v="More than 2 hours"/>
    <n v="5"/>
  </r>
  <r>
    <s v="Call_7371"/>
    <s v="C0013"/>
    <n v="95"/>
    <s v="R05"/>
    <d v="2023-02-10T00:00:00"/>
    <n v="66"/>
    <n v="4.5999999999999996"/>
    <n v="2023"/>
    <s v="Friday"/>
    <s v="1 to 2 hours"/>
    <n v="5"/>
  </r>
  <r>
    <s v="Call_7372"/>
    <s v="C0012"/>
    <n v="131"/>
    <s v="R01"/>
    <d v="2023-02-10T00:00:00"/>
    <n v="172"/>
    <n v="2.6"/>
    <n v="2023"/>
    <s v="Friday"/>
    <s v="More than 2 hours"/>
    <n v="3"/>
  </r>
  <r>
    <s v="Call_7373"/>
    <s v="C0009"/>
    <n v="67"/>
    <s v="R04"/>
    <d v="2023-02-11T00:00:00"/>
    <n v="24"/>
    <n v="4.3"/>
    <n v="2023"/>
    <s v="Saturday"/>
    <s v="1 to 2 hours"/>
    <n v="4"/>
  </r>
  <r>
    <s v="Call_7374"/>
    <s v="C0014"/>
    <n v="111"/>
    <s v="R01"/>
    <d v="2023-02-12T00:00:00"/>
    <n v="43"/>
    <n v="3.9"/>
    <n v="2023"/>
    <s v="Sunday"/>
    <s v="1 to 2 hours"/>
    <n v="4"/>
  </r>
  <r>
    <s v="Call_7375"/>
    <s v="C0005"/>
    <n v="78"/>
    <s v="R02"/>
    <d v="2023-02-12T00:00:00"/>
    <n v="23"/>
    <n v="5"/>
    <n v="2023"/>
    <s v="Sunday"/>
    <s v="1 to 2 hours"/>
    <n v="5"/>
  </r>
  <r>
    <s v="Call_7376"/>
    <s v="C0002"/>
    <n v="28"/>
    <s v="R03"/>
    <d v="2023-02-12T00:00:00"/>
    <n v="74"/>
    <n v="3.5"/>
    <n v="2023"/>
    <s v="Sunday"/>
    <s v="10 to 30 mins"/>
    <n v="4"/>
  </r>
  <r>
    <s v="Call_7377"/>
    <s v="C0004"/>
    <n v="127"/>
    <s v="R04"/>
    <d v="2023-02-13T00:00:00"/>
    <n v="165"/>
    <n v="4.7"/>
    <n v="2023"/>
    <s v="Monday"/>
    <s v="More than 2 hours"/>
    <n v="5"/>
  </r>
  <r>
    <s v="Call_7378"/>
    <s v="C0015"/>
    <n v="137"/>
    <s v="R01"/>
    <d v="2023-02-13T00:00:00"/>
    <n v="34"/>
    <n v="2.9"/>
    <n v="2023"/>
    <s v="Monday"/>
    <s v="More than 2 hours"/>
    <n v="3"/>
  </r>
  <r>
    <s v="Call_7379"/>
    <s v="C0004"/>
    <n v="76"/>
    <s v="R03"/>
    <d v="2023-02-13T00:00:00"/>
    <n v="64"/>
    <n v="3.4"/>
    <n v="2023"/>
    <s v="Monday"/>
    <s v="1 to 2 hours"/>
    <n v="3"/>
  </r>
  <r>
    <s v="Call_7380"/>
    <s v="C0005"/>
    <n v="80"/>
    <s v="R04"/>
    <d v="2023-02-14T00:00:00"/>
    <n v="155"/>
    <n v="3.2"/>
    <n v="2023"/>
    <s v="Tuesday"/>
    <s v="1 to 2 hours"/>
    <n v="3"/>
  </r>
  <r>
    <s v="Call_7381"/>
    <s v="C0004"/>
    <n v="95"/>
    <s v="R02"/>
    <d v="2023-02-15T00:00:00"/>
    <n v="120"/>
    <n v="4.8"/>
    <n v="2023"/>
    <s v="Wednesday"/>
    <s v="1 to 2 hours"/>
    <n v="5"/>
  </r>
  <r>
    <s v="Call_7382"/>
    <s v="C0006"/>
    <n v="30"/>
    <s v="R03"/>
    <d v="2023-02-15T00:00:00"/>
    <n v="105"/>
    <n v="3.6"/>
    <n v="2023"/>
    <s v="Wednesday"/>
    <s v="10 to 30 mins"/>
    <n v="4"/>
  </r>
  <r>
    <s v="Call_7383"/>
    <s v="C0011"/>
    <n v="19"/>
    <s v="R01"/>
    <d v="2023-02-15T00:00:00"/>
    <n v="28"/>
    <n v="4.9000000000000004"/>
    <n v="2023"/>
    <s v="Wednesday"/>
    <s v="10 to 30 mins"/>
    <n v="5"/>
  </r>
  <r>
    <s v="Call_7384"/>
    <s v="C0010"/>
    <n v="38"/>
    <s v="R04"/>
    <d v="2023-02-15T00:00:00"/>
    <n v="100"/>
    <n v="4.8"/>
    <n v="2023"/>
    <s v="Wednesday"/>
    <s v="30 to 60 mins"/>
    <n v="5"/>
  </r>
  <r>
    <s v="Call_7385"/>
    <s v="C0013"/>
    <n v="55"/>
    <s v="R01"/>
    <d v="2023-02-15T00:00:00"/>
    <n v="23"/>
    <n v="3.6"/>
    <n v="2023"/>
    <s v="Wednesday"/>
    <s v="30 to 60 mins"/>
    <n v="4"/>
  </r>
  <r>
    <s v="Call_7386"/>
    <s v="C0009"/>
    <n v="27"/>
    <s v="R03"/>
    <d v="2023-02-16T00:00:00"/>
    <n v="70"/>
    <n v="3.9"/>
    <n v="2023"/>
    <s v="Thursday"/>
    <s v="10 to 30 mins"/>
    <n v="4"/>
  </r>
  <r>
    <s v="Call_7387"/>
    <s v="C0009"/>
    <n v="32"/>
    <s v="R03"/>
    <d v="2023-02-16T00:00:00"/>
    <n v="37"/>
    <n v="1.9"/>
    <n v="2023"/>
    <s v="Thursday"/>
    <s v="30 to 60 mins"/>
    <n v="2"/>
  </r>
  <r>
    <s v="Call_7388"/>
    <s v="C0002"/>
    <n v="116"/>
    <s v="R05"/>
    <d v="2023-02-16T00:00:00"/>
    <n v="140"/>
    <n v="3.6"/>
    <n v="2023"/>
    <s v="Thursday"/>
    <s v="1 to 2 hours"/>
    <n v="4"/>
  </r>
  <r>
    <s v="Call_7389"/>
    <s v="C0003"/>
    <n v="99"/>
    <s v="R02"/>
    <d v="2023-02-16T00:00:00"/>
    <n v="78"/>
    <n v="4.0999999999999996"/>
    <n v="2023"/>
    <s v="Thursday"/>
    <s v="1 to 2 hours"/>
    <n v="4"/>
  </r>
  <r>
    <s v="Call_7390"/>
    <s v="C0004"/>
    <n v="75"/>
    <s v="R03"/>
    <d v="2023-02-17T00:00:00"/>
    <n v="21"/>
    <n v="4.2"/>
    <n v="2023"/>
    <s v="Friday"/>
    <s v="1 to 2 hours"/>
    <n v="4"/>
  </r>
  <r>
    <s v="Call_7391"/>
    <s v="C0005"/>
    <n v="57"/>
    <s v="R05"/>
    <d v="2023-02-17T00:00:00"/>
    <n v="88"/>
    <n v="4.3"/>
    <n v="2023"/>
    <s v="Friday"/>
    <s v="30 to 60 mins"/>
    <n v="4"/>
  </r>
  <r>
    <s v="Call_7392"/>
    <s v="C0007"/>
    <n v="155"/>
    <s v="R05"/>
    <d v="2023-02-18T00:00:00"/>
    <n v="180"/>
    <n v="2.2000000000000002"/>
    <n v="2023"/>
    <s v="Saturday"/>
    <s v="More than 2 hours"/>
    <n v="2"/>
  </r>
  <r>
    <s v="Call_7393"/>
    <s v="C0003"/>
    <n v="68"/>
    <s v="R02"/>
    <d v="2023-02-18T00:00:00"/>
    <n v="22"/>
    <n v="3.3"/>
    <n v="2023"/>
    <s v="Saturday"/>
    <s v="1 to 2 hours"/>
    <n v="3"/>
  </r>
  <r>
    <s v="Call_7394"/>
    <s v="C0010"/>
    <n v="95"/>
    <s v="R02"/>
    <d v="2023-02-18T00:00:00"/>
    <n v="52"/>
    <n v="4.8"/>
    <n v="2023"/>
    <s v="Saturday"/>
    <s v="1 to 2 hours"/>
    <n v="5"/>
  </r>
  <r>
    <s v="Call_7395"/>
    <s v="C0015"/>
    <n v="65"/>
    <s v="R05"/>
    <d v="2023-02-19T00:00:00"/>
    <n v="80"/>
    <n v="4"/>
    <n v="2023"/>
    <s v="Sunday"/>
    <s v="1 to 2 hours"/>
    <n v="4"/>
  </r>
  <r>
    <s v="Call_7396"/>
    <s v="C0011"/>
    <n v="114"/>
    <s v="R01"/>
    <d v="2023-02-19T00:00:00"/>
    <n v="54"/>
    <n v="1.1000000000000001"/>
    <n v="2023"/>
    <s v="Sunday"/>
    <s v="1 to 2 hours"/>
    <n v="1"/>
  </r>
  <r>
    <s v="Call_7397"/>
    <s v="C0004"/>
    <n v="155"/>
    <s v="R01"/>
    <d v="2023-02-20T00:00:00"/>
    <n v="80"/>
    <n v="3.9"/>
    <n v="2023"/>
    <s v="Monday"/>
    <s v="More than 2 hours"/>
    <n v="4"/>
  </r>
  <r>
    <s v="Call_7398"/>
    <s v="C0015"/>
    <n v="114"/>
    <s v="R05"/>
    <d v="2023-02-21T00:00:00"/>
    <n v="120"/>
    <n v="1.8"/>
    <n v="2023"/>
    <s v="Tuesday"/>
    <s v="1 to 2 hours"/>
    <n v="2"/>
  </r>
  <r>
    <s v="Call_7399"/>
    <s v="C0007"/>
    <n v="130"/>
    <s v="R04"/>
    <d v="2023-02-21T00:00:00"/>
    <n v="150"/>
    <n v="1"/>
    <n v="2023"/>
    <s v="Tuesday"/>
    <s v="More than 2 hours"/>
    <n v="1"/>
  </r>
  <r>
    <s v="Call_7400"/>
    <s v="C0004"/>
    <n v="89"/>
    <s v="R05"/>
    <d v="2023-02-21T00:00:00"/>
    <n v="90"/>
    <n v="4.3"/>
    <n v="2023"/>
    <s v="Tuesday"/>
    <s v="1 to 2 hours"/>
    <n v="4"/>
  </r>
  <r>
    <s v="Call_7401"/>
    <s v="C0001"/>
    <n v="61"/>
    <s v="R03"/>
    <d v="2023-02-22T00:00:00"/>
    <n v="140"/>
    <n v="3.4"/>
    <n v="2023"/>
    <s v="Wednesday"/>
    <s v="1 to 2 hours"/>
    <n v="3"/>
  </r>
  <r>
    <s v="Call_7402"/>
    <s v="C0010"/>
    <n v="154"/>
    <s v="R01"/>
    <d v="2023-02-22T00:00:00"/>
    <n v="22"/>
    <n v="3.4"/>
    <n v="2023"/>
    <s v="Wednesday"/>
    <s v="More than 2 hours"/>
    <n v="3"/>
  </r>
  <r>
    <s v="Call_7403"/>
    <s v="C0015"/>
    <n v="115"/>
    <s v="R04"/>
    <d v="2023-02-23T00:00:00"/>
    <n v="150"/>
    <n v="4.0999999999999996"/>
    <n v="2023"/>
    <s v="Thursday"/>
    <s v="1 to 2 hours"/>
    <n v="4"/>
  </r>
  <r>
    <s v="Call_7404"/>
    <s v="C0008"/>
    <n v="138"/>
    <s v="R02"/>
    <d v="2023-02-24T00:00:00"/>
    <n v="35"/>
    <n v="4.8"/>
    <n v="2023"/>
    <s v="Friday"/>
    <s v="More than 2 hours"/>
    <n v="5"/>
  </r>
  <r>
    <s v="Call_7405"/>
    <s v="C0014"/>
    <n v="153"/>
    <s v="R05"/>
    <d v="2023-02-24T00:00:00"/>
    <n v="200"/>
    <n v="2"/>
    <n v="2023"/>
    <s v="Friday"/>
    <s v="More than 2 hours"/>
    <n v="2"/>
  </r>
  <r>
    <s v="Call_7406"/>
    <s v="C0015"/>
    <n v="61"/>
    <s v="R03"/>
    <d v="2023-02-25T00:00:00"/>
    <n v="150"/>
    <n v="4.5999999999999996"/>
    <n v="2023"/>
    <s v="Saturday"/>
    <s v="1 to 2 hours"/>
    <n v="5"/>
  </r>
  <r>
    <s v="Call_7407"/>
    <s v="C0009"/>
    <n v="62"/>
    <s v="R05"/>
    <d v="2023-02-25T00:00:00"/>
    <n v="21"/>
    <n v="2.6"/>
    <n v="2023"/>
    <s v="Saturday"/>
    <s v="1 to 2 hours"/>
    <n v="3"/>
  </r>
  <r>
    <s v="Call_7408"/>
    <s v="C0001"/>
    <n v="151"/>
    <s v="R04"/>
    <d v="2023-02-26T00:00:00"/>
    <n v="46"/>
    <n v="4.9000000000000004"/>
    <n v="2023"/>
    <s v="Sunday"/>
    <s v="More than 2 hours"/>
    <n v="5"/>
  </r>
  <r>
    <s v="Call_7409"/>
    <s v="C0012"/>
    <n v="102"/>
    <s v="R01"/>
    <d v="2023-02-26T00:00:00"/>
    <n v="165"/>
    <n v="2.7"/>
    <n v="2023"/>
    <s v="Sunday"/>
    <s v="1 to 2 hours"/>
    <n v="3"/>
  </r>
  <r>
    <s v="Call_7410"/>
    <s v="C0006"/>
    <n v="64"/>
    <s v="R05"/>
    <d v="2023-02-26T00:00:00"/>
    <n v="84"/>
    <n v="4.0999999999999996"/>
    <n v="2023"/>
    <s v="Sunday"/>
    <s v="1 to 2 hours"/>
    <n v="4"/>
  </r>
  <r>
    <s v="Call_7411"/>
    <s v="C0004"/>
    <n v="6"/>
    <s v="R01"/>
    <d v="2023-02-27T00:00:00"/>
    <n v="102"/>
    <n v="4.4000000000000004"/>
    <n v="2023"/>
    <s v="Monday"/>
    <s v="Under 10 mins"/>
    <n v="4"/>
  </r>
  <r>
    <s v="Call_7412"/>
    <s v="C0006"/>
    <n v="129"/>
    <s v="R05"/>
    <d v="2023-02-27T00:00:00"/>
    <n v="180"/>
    <n v="4.8"/>
    <n v="2023"/>
    <s v="Monday"/>
    <s v="More than 2 hours"/>
    <n v="5"/>
  </r>
  <r>
    <s v="Call_7413"/>
    <s v="C0009"/>
    <n v="42"/>
    <s v="R04"/>
    <d v="2023-02-28T00:00:00"/>
    <n v="111"/>
    <n v="3"/>
    <n v="2023"/>
    <s v="Tuesday"/>
    <s v="30 to 60 mins"/>
    <n v="3"/>
  </r>
  <r>
    <s v="Call_7414"/>
    <s v="C0009"/>
    <n v="71"/>
    <s v="R03"/>
    <d v="2023-02-28T00:00:00"/>
    <n v="104"/>
    <n v="3.1"/>
    <n v="2023"/>
    <s v="Tuesday"/>
    <s v="1 to 2 hours"/>
    <n v="3"/>
  </r>
  <r>
    <s v="Call_7415"/>
    <s v="C0005"/>
    <n v="53"/>
    <s v="R01"/>
    <d v="2023-02-28T00:00:00"/>
    <n v="80"/>
    <n v="2.6"/>
    <n v="2023"/>
    <s v="Tuesday"/>
    <s v="30 to 60 mins"/>
    <n v="3"/>
  </r>
  <r>
    <s v="Call_7416"/>
    <s v="C0011"/>
    <n v="155"/>
    <s v="R03"/>
    <d v="2023-03-01T00:00:00"/>
    <n v="132"/>
    <n v="4.5999999999999996"/>
    <n v="2023"/>
    <s v="Wednesday"/>
    <s v="More than 2 hours"/>
    <n v="5"/>
  </r>
  <r>
    <s v="Call_7417"/>
    <s v="C0011"/>
    <n v="90"/>
    <s v="R04"/>
    <d v="2023-03-01T00:00:00"/>
    <n v="170"/>
    <n v="3.7"/>
    <n v="2023"/>
    <s v="Wednesday"/>
    <s v="1 to 2 hours"/>
    <n v="4"/>
  </r>
  <r>
    <s v="Call_7418"/>
    <s v="C0006"/>
    <n v="166"/>
    <s v="R02"/>
    <d v="2023-03-01T00:00:00"/>
    <n v="36"/>
    <n v="3.8"/>
    <n v="2023"/>
    <s v="Wednesday"/>
    <s v="More than 2 hours"/>
    <n v="4"/>
  </r>
  <r>
    <s v="Call_7419"/>
    <s v="C0002"/>
    <n v="89"/>
    <s v="R03"/>
    <d v="2023-03-01T00:00:00"/>
    <n v="126"/>
    <n v="3.6"/>
    <n v="2023"/>
    <s v="Wednesday"/>
    <s v="1 to 2 hours"/>
    <n v="4"/>
  </r>
  <r>
    <s v="Call_7420"/>
    <s v="C0015"/>
    <n v="152"/>
    <s v="R01"/>
    <d v="2023-03-01T00:00:00"/>
    <n v="215"/>
    <n v="4.4000000000000004"/>
    <n v="2023"/>
    <s v="Wednesday"/>
    <s v="More than 2 hours"/>
    <n v="4"/>
  </r>
  <r>
    <s v="Call_7421"/>
    <s v="C0002"/>
    <n v="137"/>
    <s v="R04"/>
    <d v="2023-03-01T00:00:00"/>
    <n v="114"/>
    <n v="3.2"/>
    <n v="2023"/>
    <s v="Wednesday"/>
    <s v="More than 2 hours"/>
    <n v="3"/>
  </r>
  <r>
    <s v="Call_7422"/>
    <s v="C0002"/>
    <n v="43"/>
    <s v="R04"/>
    <d v="2023-03-01T00:00:00"/>
    <n v="99"/>
    <n v="4.7"/>
    <n v="2023"/>
    <s v="Wednesday"/>
    <s v="30 to 60 mins"/>
    <n v="5"/>
  </r>
  <r>
    <s v="Call_7423"/>
    <s v="C0010"/>
    <n v="114"/>
    <s v="R04"/>
    <d v="2023-03-02T00:00:00"/>
    <n v="23"/>
    <n v="4.8"/>
    <n v="2023"/>
    <s v="Thursday"/>
    <s v="1 to 2 hours"/>
    <n v="5"/>
  </r>
  <r>
    <s v="Call_7424"/>
    <s v="C0014"/>
    <n v="103"/>
    <s v="R03"/>
    <d v="2023-03-02T00:00:00"/>
    <n v="75"/>
    <n v="2.7"/>
    <n v="2023"/>
    <s v="Thursday"/>
    <s v="1 to 2 hours"/>
    <n v="3"/>
  </r>
  <r>
    <s v="Call_7425"/>
    <s v="C0002"/>
    <n v="98"/>
    <s v="R01"/>
    <d v="2023-03-02T00:00:00"/>
    <n v="100"/>
    <n v="3.8"/>
    <n v="2023"/>
    <s v="Thursday"/>
    <s v="1 to 2 hours"/>
    <n v="4"/>
  </r>
  <r>
    <s v="Call_7426"/>
    <s v="C0006"/>
    <n v="106"/>
    <s v="R02"/>
    <d v="2023-03-02T00:00:00"/>
    <n v="108"/>
    <n v="4.3"/>
    <n v="2023"/>
    <s v="Thursday"/>
    <s v="1 to 2 hours"/>
    <n v="4"/>
  </r>
  <r>
    <s v="Call_7427"/>
    <s v="C0004"/>
    <n v="96"/>
    <s v="R02"/>
    <d v="2023-03-02T00:00:00"/>
    <n v="108"/>
    <n v="5"/>
    <n v="2023"/>
    <s v="Thursday"/>
    <s v="1 to 2 hours"/>
    <n v="5"/>
  </r>
  <r>
    <s v="Call_7428"/>
    <s v="C0014"/>
    <n v="70"/>
    <s v="R02"/>
    <d v="2023-03-02T00:00:00"/>
    <n v="28"/>
    <n v="4.8"/>
    <n v="2023"/>
    <s v="Thursday"/>
    <s v="1 to 2 hours"/>
    <n v="5"/>
  </r>
  <r>
    <s v="Call_7429"/>
    <s v="C0009"/>
    <n v="86"/>
    <s v="R05"/>
    <d v="2023-03-03T00:00:00"/>
    <n v="70"/>
    <n v="4.9000000000000004"/>
    <n v="2023"/>
    <s v="Friday"/>
    <s v="1 to 2 hours"/>
    <n v="5"/>
  </r>
  <r>
    <s v="Call_7430"/>
    <s v="C0005"/>
    <n v="64"/>
    <s v="R05"/>
    <d v="2023-03-03T00:00:00"/>
    <n v="172"/>
    <n v="4.0999999999999996"/>
    <n v="2023"/>
    <s v="Friday"/>
    <s v="1 to 2 hours"/>
    <n v="4"/>
  </r>
  <r>
    <s v="Call_7431"/>
    <s v="C0004"/>
    <n v="113"/>
    <s v="R01"/>
    <d v="2023-03-03T00:00:00"/>
    <n v="123"/>
    <n v="4.4000000000000004"/>
    <n v="2023"/>
    <s v="Friday"/>
    <s v="1 to 2 hours"/>
    <n v="4"/>
  </r>
  <r>
    <s v="Call_7432"/>
    <s v="C0004"/>
    <n v="21"/>
    <s v="R02"/>
    <d v="2023-03-03T00:00:00"/>
    <n v="93"/>
    <n v="3.4"/>
    <n v="2023"/>
    <s v="Friday"/>
    <s v="10 to 30 mins"/>
    <n v="3"/>
  </r>
  <r>
    <s v="Call_7433"/>
    <s v="C0012"/>
    <n v="107"/>
    <s v="R05"/>
    <d v="2023-03-03T00:00:00"/>
    <n v="66"/>
    <n v="4"/>
    <n v="2023"/>
    <s v="Friday"/>
    <s v="1 to 2 hours"/>
    <n v="4"/>
  </r>
  <r>
    <s v="Call_7434"/>
    <s v="C0012"/>
    <n v="131"/>
    <s v="R02"/>
    <d v="2023-03-03T00:00:00"/>
    <n v="39"/>
    <n v="2.4"/>
    <n v="2023"/>
    <s v="Friday"/>
    <s v="More than 2 hours"/>
    <n v="2"/>
  </r>
  <r>
    <s v="Call_7435"/>
    <s v="C0003"/>
    <n v="11"/>
    <s v="R03"/>
    <d v="2023-03-03T00:00:00"/>
    <n v="25"/>
    <n v="2.1"/>
    <n v="2023"/>
    <s v="Friday"/>
    <s v="10 to 30 mins"/>
    <n v="2"/>
  </r>
  <r>
    <s v="Call_7436"/>
    <s v="C0001"/>
    <n v="86"/>
    <s v="R01"/>
    <d v="2023-03-03T00:00:00"/>
    <n v="68"/>
    <n v="3"/>
    <n v="2023"/>
    <s v="Friday"/>
    <s v="1 to 2 hours"/>
    <n v="3"/>
  </r>
  <r>
    <s v="Call_7437"/>
    <s v="C0005"/>
    <n v="28"/>
    <s v="R03"/>
    <d v="2023-03-03T00:00:00"/>
    <n v="84"/>
    <n v="3.2"/>
    <n v="2023"/>
    <s v="Friday"/>
    <s v="10 to 30 mins"/>
    <n v="3"/>
  </r>
  <r>
    <s v="Call_7438"/>
    <s v="C0011"/>
    <n v="139"/>
    <s v="R02"/>
    <d v="2023-03-04T00:00:00"/>
    <n v="88"/>
    <n v="3.4"/>
    <n v="2023"/>
    <s v="Saturday"/>
    <s v="More than 2 hours"/>
    <n v="3"/>
  </r>
  <r>
    <s v="Call_7439"/>
    <s v="C0006"/>
    <n v="82"/>
    <s v="R01"/>
    <d v="2023-03-04T00:00:00"/>
    <n v="93"/>
    <n v="2.7"/>
    <n v="2023"/>
    <s v="Saturday"/>
    <s v="1 to 2 hours"/>
    <n v="3"/>
  </r>
  <r>
    <s v="Call_7440"/>
    <s v="C0004"/>
    <n v="101"/>
    <s v="R03"/>
    <d v="2023-03-04T00:00:00"/>
    <n v="128"/>
    <n v="5"/>
    <n v="2023"/>
    <s v="Saturday"/>
    <s v="1 to 2 hours"/>
    <n v="5"/>
  </r>
  <r>
    <s v="Call_7441"/>
    <s v="C0005"/>
    <n v="75"/>
    <s v="R04"/>
    <d v="2023-03-04T00:00:00"/>
    <n v="40"/>
    <n v="3.4"/>
    <n v="2023"/>
    <s v="Saturday"/>
    <s v="1 to 2 hours"/>
    <n v="3"/>
  </r>
  <r>
    <s v="Call_7442"/>
    <s v="C0010"/>
    <n v="40"/>
    <s v="R03"/>
    <d v="2023-03-05T00:00:00"/>
    <n v="92"/>
    <n v="4.7"/>
    <n v="2023"/>
    <s v="Sunday"/>
    <s v="30 to 60 mins"/>
    <n v="5"/>
  </r>
  <r>
    <s v="Call_7443"/>
    <s v="C0002"/>
    <n v="86"/>
    <s v="R02"/>
    <d v="2023-03-05T00:00:00"/>
    <n v="27"/>
    <n v="4.5"/>
    <n v="2023"/>
    <s v="Sunday"/>
    <s v="1 to 2 hours"/>
    <n v="5"/>
  </r>
  <r>
    <s v="Call_7444"/>
    <s v="C0007"/>
    <n v="131"/>
    <s v="R05"/>
    <d v="2023-03-05T00:00:00"/>
    <n v="140"/>
    <n v="4.0999999999999996"/>
    <n v="2023"/>
    <s v="Sunday"/>
    <s v="More than 2 hours"/>
    <n v="4"/>
  </r>
  <r>
    <s v="Call_7445"/>
    <s v="C0012"/>
    <n v="67"/>
    <s v="R01"/>
    <d v="2023-03-05T00:00:00"/>
    <n v="40"/>
    <n v="5"/>
    <n v="2023"/>
    <s v="Sunday"/>
    <s v="1 to 2 hours"/>
    <n v="5"/>
  </r>
  <r>
    <s v="Call_7446"/>
    <s v="C0008"/>
    <n v="71"/>
    <s v="R03"/>
    <d v="2023-03-05T00:00:00"/>
    <n v="102"/>
    <n v="4.7"/>
    <n v="2023"/>
    <s v="Sunday"/>
    <s v="1 to 2 hours"/>
    <n v="5"/>
  </r>
  <r>
    <s v="Call_7447"/>
    <s v="C0007"/>
    <n v="113"/>
    <s v="R05"/>
    <d v="2023-03-05T00:00:00"/>
    <n v="42"/>
    <n v="4.2"/>
    <n v="2023"/>
    <s v="Sunday"/>
    <s v="1 to 2 hours"/>
    <n v="4"/>
  </r>
  <r>
    <s v="Call_7448"/>
    <s v="C0006"/>
    <n v="53"/>
    <s v="R02"/>
    <d v="2023-03-06T00:00:00"/>
    <n v="210"/>
    <n v="3.9"/>
    <n v="2023"/>
    <s v="Monday"/>
    <s v="30 to 60 mins"/>
    <n v="4"/>
  </r>
  <r>
    <s v="Call_7449"/>
    <s v="C0007"/>
    <n v="153"/>
    <s v="R01"/>
    <d v="2023-03-06T00:00:00"/>
    <n v="34"/>
    <n v="3"/>
    <n v="2023"/>
    <s v="Monday"/>
    <s v="More than 2 hours"/>
    <n v="3"/>
  </r>
  <r>
    <s v="Call_7450"/>
    <s v="C0012"/>
    <n v="73"/>
    <s v="R04"/>
    <d v="2023-03-06T00:00:00"/>
    <n v="215"/>
    <n v="3.6"/>
    <n v="2023"/>
    <s v="Monday"/>
    <s v="1 to 2 hours"/>
    <n v="4"/>
  </r>
  <r>
    <s v="Call_7451"/>
    <s v="C0009"/>
    <n v="62"/>
    <s v="R04"/>
    <d v="2023-03-06T00:00:00"/>
    <n v="32"/>
    <n v="0.7"/>
    <n v="2023"/>
    <s v="Monday"/>
    <s v="1 to 2 hours"/>
    <n v="1"/>
  </r>
  <r>
    <s v="Call_7452"/>
    <s v="C0011"/>
    <n v="115"/>
    <s v="R02"/>
    <d v="2023-03-07T00:00:00"/>
    <n v="48"/>
    <n v="4.7"/>
    <n v="2023"/>
    <s v="Tuesday"/>
    <s v="1 to 2 hours"/>
    <n v="5"/>
  </r>
  <r>
    <s v="Call_7453"/>
    <s v="C0007"/>
    <n v="69"/>
    <s v="R02"/>
    <d v="2023-03-07T00:00:00"/>
    <n v="132"/>
    <n v="4.5"/>
    <n v="2023"/>
    <s v="Tuesday"/>
    <s v="1 to 2 hours"/>
    <n v="5"/>
  </r>
  <r>
    <s v="Call_7454"/>
    <s v="C0002"/>
    <n v="103"/>
    <s v="R05"/>
    <d v="2023-03-07T00:00:00"/>
    <n v="172"/>
    <n v="4.3"/>
    <n v="2023"/>
    <s v="Tuesday"/>
    <s v="1 to 2 hours"/>
    <n v="4"/>
  </r>
  <r>
    <s v="Call_7455"/>
    <s v="C0002"/>
    <n v="75"/>
    <s v="R05"/>
    <d v="2023-03-07T00:00:00"/>
    <n v="111"/>
    <n v="3.4"/>
    <n v="2023"/>
    <s v="Tuesday"/>
    <s v="1 to 2 hours"/>
    <n v="3"/>
  </r>
  <r>
    <s v="Call_7456"/>
    <s v="C0013"/>
    <n v="92"/>
    <s v="R05"/>
    <d v="2023-03-07T00:00:00"/>
    <n v="58"/>
    <n v="3.6"/>
    <n v="2023"/>
    <s v="Tuesday"/>
    <s v="1 to 2 hours"/>
    <n v="4"/>
  </r>
  <r>
    <s v="Call_7457"/>
    <s v="C0013"/>
    <n v="41"/>
    <s v="R04"/>
    <d v="2023-03-07T00:00:00"/>
    <n v="68"/>
    <n v="4"/>
    <n v="2023"/>
    <s v="Tuesday"/>
    <s v="30 to 60 mins"/>
    <n v="4"/>
  </r>
  <r>
    <s v="Call_7458"/>
    <s v="C0002"/>
    <n v="134"/>
    <s v="R01"/>
    <d v="2023-03-07T00:00:00"/>
    <n v="160"/>
    <n v="4.5"/>
    <n v="2023"/>
    <s v="Tuesday"/>
    <s v="More than 2 hours"/>
    <n v="5"/>
  </r>
  <r>
    <s v="Call_7459"/>
    <s v="C0001"/>
    <n v="80"/>
    <s v="R03"/>
    <d v="2023-03-07T00:00:00"/>
    <n v="45"/>
    <n v="3"/>
    <n v="2023"/>
    <s v="Tuesday"/>
    <s v="1 to 2 hours"/>
    <n v="3"/>
  </r>
  <r>
    <s v="Call_7460"/>
    <s v="C0008"/>
    <n v="103"/>
    <s v="R02"/>
    <d v="2023-03-08T00:00:00"/>
    <n v="117"/>
    <n v="3"/>
    <n v="2023"/>
    <s v="Wednesday"/>
    <s v="1 to 2 hours"/>
    <n v="3"/>
  </r>
  <r>
    <s v="Call_7461"/>
    <s v="C0006"/>
    <n v="20"/>
    <s v="R05"/>
    <d v="2023-03-09T00:00:00"/>
    <n v="22"/>
    <n v="1.6"/>
    <n v="2023"/>
    <s v="Thursday"/>
    <s v="10 to 30 mins"/>
    <n v="2"/>
  </r>
  <r>
    <s v="Call_7462"/>
    <s v="C0008"/>
    <n v="75"/>
    <s v="R03"/>
    <d v="2023-03-09T00:00:00"/>
    <n v="195"/>
    <n v="3"/>
    <n v="2023"/>
    <s v="Thursday"/>
    <s v="1 to 2 hours"/>
    <n v="3"/>
  </r>
  <r>
    <s v="Call_7463"/>
    <s v="C0013"/>
    <n v="80"/>
    <s v="R01"/>
    <d v="2023-03-09T00:00:00"/>
    <n v="168"/>
    <n v="3.7"/>
    <n v="2023"/>
    <s v="Thursday"/>
    <s v="1 to 2 hours"/>
    <n v="4"/>
  </r>
  <r>
    <s v="Call_7464"/>
    <s v="C0007"/>
    <n v="85"/>
    <s v="R04"/>
    <d v="2023-03-10T00:00:00"/>
    <n v="46"/>
    <n v="4.9000000000000004"/>
    <n v="2023"/>
    <s v="Friday"/>
    <s v="1 to 2 hours"/>
    <n v="5"/>
  </r>
  <r>
    <s v="Call_7465"/>
    <s v="C0004"/>
    <n v="155"/>
    <s v="R05"/>
    <d v="2023-03-10T00:00:00"/>
    <n v="164"/>
    <n v="3.4"/>
    <n v="2023"/>
    <s v="Friday"/>
    <s v="More than 2 hours"/>
    <n v="3"/>
  </r>
  <r>
    <s v="Call_7466"/>
    <s v="C0007"/>
    <n v="63"/>
    <s v="R04"/>
    <d v="2023-03-10T00:00:00"/>
    <n v="48"/>
    <n v="5"/>
    <n v="2023"/>
    <s v="Friday"/>
    <s v="1 to 2 hours"/>
    <n v="5"/>
  </r>
  <r>
    <s v="Call_7467"/>
    <s v="C0005"/>
    <n v="105"/>
    <s v="R02"/>
    <d v="2023-03-10T00:00:00"/>
    <n v="96"/>
    <n v="5"/>
    <n v="2023"/>
    <s v="Friday"/>
    <s v="1 to 2 hours"/>
    <n v="5"/>
  </r>
  <r>
    <s v="Call_7468"/>
    <s v="C0007"/>
    <n v="71"/>
    <s v="R04"/>
    <d v="2023-03-10T00:00:00"/>
    <n v="105"/>
    <n v="4"/>
    <n v="2023"/>
    <s v="Friday"/>
    <s v="1 to 2 hours"/>
    <n v="4"/>
  </r>
  <r>
    <s v="Call_7469"/>
    <s v="C0004"/>
    <n v="100"/>
    <s v="R04"/>
    <d v="2023-03-11T00:00:00"/>
    <n v="44"/>
    <n v="3.6"/>
    <n v="2023"/>
    <s v="Saturday"/>
    <s v="1 to 2 hours"/>
    <n v="4"/>
  </r>
  <r>
    <s v="Call_7470"/>
    <s v="C0003"/>
    <n v="93"/>
    <s v="R01"/>
    <d v="2023-03-11T00:00:00"/>
    <n v="132"/>
    <n v="3.7"/>
    <n v="2023"/>
    <s v="Saturday"/>
    <s v="1 to 2 hours"/>
    <n v="4"/>
  </r>
  <r>
    <s v="Call_7471"/>
    <s v="C0005"/>
    <n v="84"/>
    <s v="R05"/>
    <d v="2023-03-11T00:00:00"/>
    <n v="54"/>
    <n v="4.2"/>
    <n v="2023"/>
    <s v="Saturday"/>
    <s v="1 to 2 hours"/>
    <n v="4"/>
  </r>
  <r>
    <s v="Call_7472"/>
    <s v="C0001"/>
    <n v="56"/>
    <s v="R03"/>
    <d v="2023-03-11T00:00:00"/>
    <n v="129"/>
    <n v="2.1"/>
    <n v="2023"/>
    <s v="Saturday"/>
    <s v="30 to 60 mins"/>
    <n v="2"/>
  </r>
  <r>
    <s v="Call_7473"/>
    <s v="C0001"/>
    <n v="63"/>
    <s v="R04"/>
    <d v="2023-03-11T00:00:00"/>
    <n v="42"/>
    <n v="4"/>
    <n v="2023"/>
    <s v="Saturday"/>
    <s v="1 to 2 hours"/>
    <n v="4"/>
  </r>
  <r>
    <s v="Call_7474"/>
    <s v="C0009"/>
    <n v="83"/>
    <s v="R04"/>
    <d v="2023-03-11T00:00:00"/>
    <n v="42"/>
    <n v="4.2"/>
    <n v="2023"/>
    <s v="Saturday"/>
    <s v="1 to 2 hours"/>
    <n v="4"/>
  </r>
  <r>
    <s v="Call_7475"/>
    <s v="C0013"/>
    <n v="134"/>
    <s v="R05"/>
    <d v="2023-03-11T00:00:00"/>
    <n v="180"/>
    <n v="3.1"/>
    <n v="2023"/>
    <s v="Saturday"/>
    <s v="More than 2 hours"/>
    <n v="3"/>
  </r>
  <r>
    <s v="Call_7476"/>
    <s v="C0011"/>
    <n v="73"/>
    <s v="R04"/>
    <d v="2023-03-12T00:00:00"/>
    <n v="34"/>
    <n v="4.8"/>
    <n v="2023"/>
    <s v="Sunday"/>
    <s v="1 to 2 hours"/>
    <n v="5"/>
  </r>
  <r>
    <s v="Call_7477"/>
    <s v="C0008"/>
    <n v="6"/>
    <s v="R03"/>
    <d v="2023-03-12T00:00:00"/>
    <n v="29"/>
    <n v="4.7"/>
    <n v="2023"/>
    <s v="Sunday"/>
    <s v="Under 10 mins"/>
    <n v="5"/>
  </r>
  <r>
    <s v="Call_7478"/>
    <s v="C0012"/>
    <n v="46"/>
    <s v="R02"/>
    <d v="2023-03-12T00:00:00"/>
    <n v="165"/>
    <n v="3.3"/>
    <n v="2023"/>
    <s v="Sunday"/>
    <s v="30 to 60 mins"/>
    <n v="3"/>
  </r>
  <r>
    <s v="Call_7479"/>
    <s v="C0008"/>
    <n v="121"/>
    <s v="R04"/>
    <d v="2023-03-13T00:00:00"/>
    <n v="32"/>
    <n v="3.7"/>
    <n v="2023"/>
    <s v="Monday"/>
    <s v="More than 2 hours"/>
    <n v="4"/>
  </r>
  <r>
    <s v="Call_7480"/>
    <s v="C0001"/>
    <n v="61"/>
    <s v="R01"/>
    <d v="2023-03-13T00:00:00"/>
    <n v="160"/>
    <n v="4.9000000000000004"/>
    <n v="2023"/>
    <s v="Monday"/>
    <s v="1 to 2 hours"/>
    <n v="5"/>
  </r>
  <r>
    <s v="Call_7481"/>
    <s v="C0013"/>
    <n v="144"/>
    <s v="R05"/>
    <d v="2023-03-13T00:00:00"/>
    <n v="140"/>
    <n v="3.5"/>
    <n v="2023"/>
    <s v="Monday"/>
    <s v="More than 2 hours"/>
    <n v="4"/>
  </r>
  <r>
    <s v="Call_7482"/>
    <s v="C0012"/>
    <n v="145"/>
    <s v="R05"/>
    <d v="2023-03-13T00:00:00"/>
    <n v="136"/>
    <n v="4.4000000000000004"/>
    <n v="2023"/>
    <s v="Monday"/>
    <s v="More than 2 hours"/>
    <n v="4"/>
  </r>
  <r>
    <s v="Call_7483"/>
    <s v="C0005"/>
    <n v="85"/>
    <s v="R03"/>
    <d v="2023-03-13T00:00:00"/>
    <n v="66"/>
    <n v="2.8"/>
    <n v="2023"/>
    <s v="Monday"/>
    <s v="1 to 2 hours"/>
    <n v="3"/>
  </r>
  <r>
    <s v="Call_7484"/>
    <s v="C0012"/>
    <n v="13"/>
    <s v="R01"/>
    <d v="2023-03-14T00:00:00"/>
    <n v="63"/>
    <n v="4.0999999999999996"/>
    <n v="2023"/>
    <s v="Tuesday"/>
    <s v="10 to 30 mins"/>
    <n v="4"/>
  </r>
  <r>
    <s v="Call_7485"/>
    <s v="C0003"/>
    <n v="142"/>
    <s v="R04"/>
    <d v="2023-03-14T00:00:00"/>
    <n v="44"/>
    <n v="3.5"/>
    <n v="2023"/>
    <s v="Tuesday"/>
    <s v="More than 2 hours"/>
    <n v="4"/>
  </r>
  <r>
    <s v="Call_7486"/>
    <s v="C0013"/>
    <n v="28"/>
    <s v="R02"/>
    <d v="2023-03-14T00:00:00"/>
    <n v="78"/>
    <n v="3.8"/>
    <n v="2023"/>
    <s v="Tuesday"/>
    <s v="10 to 30 mins"/>
    <n v="4"/>
  </r>
  <r>
    <s v="Call_7487"/>
    <s v="C0013"/>
    <n v="119"/>
    <s v="R04"/>
    <d v="2023-03-14T00:00:00"/>
    <n v="20"/>
    <n v="3.9"/>
    <n v="2023"/>
    <s v="Tuesday"/>
    <s v="1 to 2 hours"/>
    <n v="4"/>
  </r>
  <r>
    <s v="Call_7488"/>
    <s v="C0008"/>
    <n v="65"/>
    <s v="R03"/>
    <d v="2023-03-14T00:00:00"/>
    <n v="84"/>
    <n v="2.5"/>
    <n v="2023"/>
    <s v="Tuesday"/>
    <s v="1 to 2 hours"/>
    <n v="3"/>
  </r>
  <r>
    <s v="Call_7489"/>
    <s v="C0002"/>
    <n v="68"/>
    <s v="R03"/>
    <d v="2023-03-14T00:00:00"/>
    <n v="32"/>
    <n v="4.9000000000000004"/>
    <n v="2023"/>
    <s v="Tuesday"/>
    <s v="1 to 2 hours"/>
    <n v="5"/>
  </r>
  <r>
    <s v="Call_7490"/>
    <s v="C0009"/>
    <n v="72"/>
    <s v="R02"/>
    <d v="2023-03-14T00:00:00"/>
    <n v="132"/>
    <n v="3.4"/>
    <n v="2023"/>
    <s v="Tuesday"/>
    <s v="1 to 2 hours"/>
    <n v="3"/>
  </r>
  <r>
    <s v="Call_7491"/>
    <s v="C0009"/>
    <n v="63"/>
    <s v="R05"/>
    <d v="2023-03-14T00:00:00"/>
    <n v="105"/>
    <n v="3.3"/>
    <n v="2023"/>
    <s v="Tuesday"/>
    <s v="1 to 2 hours"/>
    <n v="3"/>
  </r>
  <r>
    <s v="Call_7492"/>
    <s v="C0004"/>
    <n v="139"/>
    <s v="R04"/>
    <d v="2023-03-15T00:00:00"/>
    <n v="48"/>
    <n v="4.7"/>
    <n v="2023"/>
    <s v="Wednesday"/>
    <s v="More than 2 hours"/>
    <n v="5"/>
  </r>
  <r>
    <s v="Call_7493"/>
    <s v="C0013"/>
    <n v="59"/>
    <s v="R04"/>
    <d v="2023-03-15T00:00:00"/>
    <n v="64"/>
    <n v="4"/>
    <n v="2023"/>
    <s v="Wednesday"/>
    <s v="30 to 60 mins"/>
    <n v="4"/>
  </r>
  <r>
    <s v="Call_7494"/>
    <s v="C0006"/>
    <n v="138"/>
    <s v="R05"/>
    <d v="2023-03-15T00:00:00"/>
    <n v="44"/>
    <n v="3.8"/>
    <n v="2023"/>
    <s v="Wednesday"/>
    <s v="More than 2 hours"/>
    <n v="4"/>
  </r>
  <r>
    <s v="Call_7495"/>
    <s v="C0004"/>
    <n v="47"/>
    <s v="R02"/>
    <d v="2023-03-15T00:00:00"/>
    <n v="120"/>
    <n v="3.1"/>
    <n v="2023"/>
    <s v="Wednesday"/>
    <s v="30 to 60 mins"/>
    <n v="3"/>
  </r>
  <r>
    <s v="Call_7496"/>
    <s v="C0006"/>
    <n v="74"/>
    <s v="R02"/>
    <d v="2023-03-15T00:00:00"/>
    <n v="144"/>
    <n v="4.8"/>
    <n v="2023"/>
    <s v="Wednesday"/>
    <s v="1 to 2 hours"/>
    <n v="5"/>
  </r>
  <r>
    <s v="Call_7497"/>
    <s v="C0009"/>
    <n v="65"/>
    <s v="R02"/>
    <d v="2023-03-15T00:00:00"/>
    <n v="87"/>
    <n v="2.7"/>
    <n v="2023"/>
    <s v="Wednesday"/>
    <s v="1 to 2 hours"/>
    <n v="3"/>
  </r>
  <r>
    <s v="Call_7498"/>
    <s v="C0011"/>
    <n v="123"/>
    <s v="R03"/>
    <d v="2023-03-15T00:00:00"/>
    <n v="36"/>
    <n v="3.6"/>
    <n v="2023"/>
    <s v="Wednesday"/>
    <s v="More than 2 hours"/>
    <n v="4"/>
  </r>
  <r>
    <s v="Call_7499"/>
    <s v="C0009"/>
    <n v="90"/>
    <s v="R04"/>
    <d v="2023-03-16T00:00:00"/>
    <n v="72"/>
    <n v="4.7"/>
    <n v="2023"/>
    <s v="Thursday"/>
    <s v="1 to 2 hours"/>
    <n v="5"/>
  </r>
  <r>
    <s v="Call_7500"/>
    <s v="C0001"/>
    <n v="127"/>
    <s v="R05"/>
    <d v="2023-03-16T00:00:00"/>
    <n v="150"/>
    <n v="4.4000000000000004"/>
    <n v="2023"/>
    <s v="Thursday"/>
    <s v="More than 2 hours"/>
    <n v="4"/>
  </r>
  <r>
    <s v="Call_7501"/>
    <s v="C0014"/>
    <n v="60"/>
    <s v="R02"/>
    <d v="2023-03-16T00:00:00"/>
    <n v="68"/>
    <n v="4.3"/>
    <n v="2023"/>
    <s v="Thursday"/>
    <s v="30 to 60 mins"/>
    <n v="4"/>
  </r>
  <r>
    <s v="Call_7502"/>
    <s v="C0004"/>
    <n v="94"/>
    <s v="R05"/>
    <d v="2023-03-16T00:00:00"/>
    <n v="99"/>
    <n v="4.9000000000000004"/>
    <n v="2023"/>
    <s v="Thursday"/>
    <s v="1 to 2 hours"/>
    <n v="5"/>
  </r>
  <r>
    <s v="Call_7503"/>
    <s v="C0011"/>
    <n v="54"/>
    <s v="R02"/>
    <d v="2023-03-16T00:00:00"/>
    <n v="26"/>
    <n v="4.8"/>
    <n v="2023"/>
    <s v="Thursday"/>
    <s v="30 to 60 mins"/>
    <n v="5"/>
  </r>
  <r>
    <s v="Call_7504"/>
    <s v="C0009"/>
    <n v="104"/>
    <s v="R02"/>
    <d v="2023-03-16T00:00:00"/>
    <n v="88"/>
    <n v="3.2"/>
    <n v="2023"/>
    <s v="Thursday"/>
    <s v="1 to 2 hours"/>
    <n v="3"/>
  </r>
  <r>
    <s v="Call_7505"/>
    <s v="C0007"/>
    <n v="100"/>
    <s v="R02"/>
    <d v="2023-03-16T00:00:00"/>
    <n v="124"/>
    <n v="3.4"/>
    <n v="2023"/>
    <s v="Thursday"/>
    <s v="1 to 2 hours"/>
    <n v="3"/>
  </r>
  <r>
    <s v="Call_7506"/>
    <s v="C0006"/>
    <n v="84"/>
    <s v="R02"/>
    <d v="2023-03-16T00:00:00"/>
    <n v="72"/>
    <n v="3.5"/>
    <n v="2023"/>
    <s v="Thursday"/>
    <s v="1 to 2 hours"/>
    <n v="4"/>
  </r>
  <r>
    <s v="Call_7507"/>
    <s v="C0003"/>
    <n v="92"/>
    <s v="R01"/>
    <d v="2023-03-17T00:00:00"/>
    <n v="125"/>
    <n v="4.9000000000000004"/>
    <n v="2023"/>
    <s v="Friday"/>
    <s v="1 to 2 hours"/>
    <n v="5"/>
  </r>
  <r>
    <s v="Call_7508"/>
    <s v="C0010"/>
    <n v="64"/>
    <s v="R05"/>
    <d v="2023-03-17T00:00:00"/>
    <n v="22"/>
    <n v="4.0999999999999996"/>
    <n v="2023"/>
    <s v="Friday"/>
    <s v="1 to 2 hours"/>
    <n v="4"/>
  </r>
  <r>
    <s v="Call_7509"/>
    <s v="C0005"/>
    <n v="89"/>
    <s v="R04"/>
    <d v="2023-03-18T00:00:00"/>
    <n v="70"/>
    <n v="4.9000000000000004"/>
    <n v="2023"/>
    <s v="Saturday"/>
    <s v="1 to 2 hours"/>
    <n v="5"/>
  </r>
  <r>
    <s v="Call_7510"/>
    <s v="C0015"/>
    <n v="40"/>
    <s v="R02"/>
    <d v="2023-03-18T00:00:00"/>
    <n v="24"/>
    <n v="4.3"/>
    <n v="2023"/>
    <s v="Saturday"/>
    <s v="30 to 60 mins"/>
    <n v="4"/>
  </r>
  <r>
    <s v="Call_7511"/>
    <s v="C0013"/>
    <n v="75"/>
    <s v="R03"/>
    <d v="2023-03-18T00:00:00"/>
    <n v="32"/>
    <n v="4.0999999999999996"/>
    <n v="2023"/>
    <s v="Saturday"/>
    <s v="1 to 2 hours"/>
    <n v="4"/>
  </r>
  <r>
    <s v="Call_7512"/>
    <s v="C0001"/>
    <n v="106"/>
    <s v="R01"/>
    <d v="2023-03-18T00:00:00"/>
    <n v="112"/>
    <n v="4.4000000000000004"/>
    <n v="2023"/>
    <s v="Saturday"/>
    <s v="1 to 2 hours"/>
    <n v="4"/>
  </r>
  <r>
    <s v="Call_7513"/>
    <s v="C0010"/>
    <n v="58"/>
    <s v="R02"/>
    <d v="2023-03-19T00:00:00"/>
    <n v="43"/>
    <n v="4.5"/>
    <n v="2023"/>
    <s v="Sunday"/>
    <s v="30 to 60 mins"/>
    <n v="5"/>
  </r>
  <r>
    <s v="Call_7514"/>
    <s v="C0006"/>
    <n v="84"/>
    <s v="R01"/>
    <d v="2023-03-19T00:00:00"/>
    <n v="22"/>
    <n v="3.5"/>
    <n v="2023"/>
    <s v="Sunday"/>
    <s v="1 to 2 hours"/>
    <n v="4"/>
  </r>
  <r>
    <s v="Call_7515"/>
    <s v="C0009"/>
    <n v="140"/>
    <s v="R01"/>
    <d v="2023-03-19T00:00:00"/>
    <n v="93"/>
    <n v="4.4000000000000004"/>
    <n v="2023"/>
    <s v="Sunday"/>
    <s v="More than 2 hours"/>
    <n v="4"/>
  </r>
  <r>
    <s v="Call_7516"/>
    <s v="C0010"/>
    <n v="67"/>
    <s v="R01"/>
    <d v="2023-03-19T00:00:00"/>
    <n v="45"/>
    <n v="3.5"/>
    <n v="2023"/>
    <s v="Sunday"/>
    <s v="1 to 2 hours"/>
    <n v="4"/>
  </r>
  <r>
    <s v="Call_7517"/>
    <s v="C0004"/>
    <n v="126"/>
    <s v="R01"/>
    <d v="2023-03-20T00:00:00"/>
    <n v="96"/>
    <n v="3.8"/>
    <n v="2023"/>
    <s v="Monday"/>
    <s v="More than 2 hours"/>
    <n v="4"/>
  </r>
  <r>
    <s v="Call_7518"/>
    <s v="C0004"/>
    <n v="89"/>
    <s v="R02"/>
    <d v="2023-03-20T00:00:00"/>
    <n v="96"/>
    <n v="3.3"/>
    <n v="2023"/>
    <s v="Monday"/>
    <s v="1 to 2 hours"/>
    <n v="3"/>
  </r>
  <r>
    <s v="Call_7519"/>
    <s v="C0005"/>
    <n v="56"/>
    <s v="R05"/>
    <d v="2023-03-20T00:00:00"/>
    <n v="31"/>
    <n v="4.4000000000000004"/>
    <n v="2023"/>
    <s v="Monday"/>
    <s v="30 to 60 mins"/>
    <n v="4"/>
  </r>
  <r>
    <s v="Call_7520"/>
    <s v="C0011"/>
    <n v="48"/>
    <s v="R02"/>
    <d v="2023-03-20T00:00:00"/>
    <n v="200"/>
    <n v="3.9"/>
    <n v="2023"/>
    <s v="Monday"/>
    <s v="30 to 60 mins"/>
    <n v="4"/>
  </r>
  <r>
    <s v="Call_7521"/>
    <s v="C0004"/>
    <n v="55"/>
    <s v="R05"/>
    <d v="2023-03-20T00:00:00"/>
    <n v="99"/>
    <n v="2.7"/>
    <n v="2023"/>
    <s v="Monday"/>
    <s v="30 to 60 mins"/>
    <n v="3"/>
  </r>
  <r>
    <s v="Call_7522"/>
    <s v="C0014"/>
    <n v="88"/>
    <s v="R03"/>
    <d v="2023-03-20T00:00:00"/>
    <n v="144"/>
    <n v="2.9"/>
    <n v="2023"/>
    <s v="Monday"/>
    <s v="1 to 2 hours"/>
    <n v="3"/>
  </r>
  <r>
    <s v="Call_7523"/>
    <s v="C0005"/>
    <n v="102"/>
    <s v="R01"/>
    <d v="2023-03-21T00:00:00"/>
    <n v="81"/>
    <n v="4"/>
    <n v="2023"/>
    <s v="Tuesday"/>
    <s v="1 to 2 hours"/>
    <n v="4"/>
  </r>
  <r>
    <s v="Call_7524"/>
    <s v="C0014"/>
    <n v="155"/>
    <s v="R03"/>
    <d v="2023-03-21T00:00:00"/>
    <n v="70"/>
    <n v="4.4000000000000004"/>
    <n v="2023"/>
    <s v="Tuesday"/>
    <s v="More than 2 hours"/>
    <n v="4"/>
  </r>
  <r>
    <s v="Call_7525"/>
    <s v="C0004"/>
    <n v="63"/>
    <s v="R03"/>
    <d v="2023-03-21T00:00:00"/>
    <n v="148"/>
    <n v="5"/>
    <n v="2023"/>
    <s v="Tuesday"/>
    <s v="1 to 2 hours"/>
    <n v="5"/>
  </r>
  <r>
    <s v="Call_7526"/>
    <s v="C0007"/>
    <n v="59"/>
    <s v="R01"/>
    <d v="2023-03-21T00:00:00"/>
    <n v="215"/>
    <n v="4.0999999999999996"/>
    <n v="2023"/>
    <s v="Tuesday"/>
    <s v="30 to 60 mins"/>
    <n v="4"/>
  </r>
  <r>
    <s v="Call_7527"/>
    <s v="C0007"/>
    <n v="144"/>
    <s v="R02"/>
    <d v="2023-03-21T00:00:00"/>
    <n v="124"/>
    <n v="4.4000000000000004"/>
    <n v="2023"/>
    <s v="Tuesday"/>
    <s v="More than 2 hours"/>
    <n v="4"/>
  </r>
  <r>
    <s v="Call_7528"/>
    <s v="C0006"/>
    <n v="113"/>
    <s v="R04"/>
    <d v="2023-03-21T00:00:00"/>
    <n v="168"/>
    <n v="4.0999999999999996"/>
    <n v="2023"/>
    <s v="Tuesday"/>
    <s v="1 to 2 hours"/>
    <n v="4"/>
  </r>
  <r>
    <s v="Call_7529"/>
    <s v="C0012"/>
    <n v="154"/>
    <s v="R05"/>
    <d v="2023-03-21T00:00:00"/>
    <n v="90"/>
    <n v="4.5"/>
    <n v="2023"/>
    <s v="Tuesday"/>
    <s v="More than 2 hours"/>
    <n v="5"/>
  </r>
  <r>
    <s v="Call_7530"/>
    <s v="C0012"/>
    <n v="58"/>
    <s v="R01"/>
    <d v="2023-03-22T00:00:00"/>
    <n v="176"/>
    <n v="4.2"/>
    <n v="2023"/>
    <s v="Wednesday"/>
    <s v="30 to 60 mins"/>
    <n v="4"/>
  </r>
  <r>
    <s v="Call_7531"/>
    <s v="C0011"/>
    <n v="63"/>
    <s v="R03"/>
    <d v="2023-03-22T00:00:00"/>
    <n v="87"/>
    <n v="4.5999999999999996"/>
    <n v="2023"/>
    <s v="Wednesday"/>
    <s v="1 to 2 hours"/>
    <n v="5"/>
  </r>
  <r>
    <s v="Call_7532"/>
    <s v="C0009"/>
    <n v="59"/>
    <s v="R02"/>
    <d v="2023-03-22T00:00:00"/>
    <n v="128"/>
    <n v="4.5"/>
    <n v="2023"/>
    <s v="Wednesday"/>
    <s v="30 to 60 mins"/>
    <n v="5"/>
  </r>
  <r>
    <s v="Call_7533"/>
    <s v="C0008"/>
    <n v="129"/>
    <s v="R03"/>
    <d v="2023-03-22T00:00:00"/>
    <n v="120"/>
    <n v="4.0999999999999996"/>
    <n v="2023"/>
    <s v="Wednesday"/>
    <s v="More than 2 hours"/>
    <n v="4"/>
  </r>
  <r>
    <s v="Call_7534"/>
    <s v="C0002"/>
    <n v="101"/>
    <s v="R04"/>
    <d v="2023-03-22T00:00:00"/>
    <n v="130"/>
    <n v="4.8"/>
    <n v="2023"/>
    <s v="Wednesday"/>
    <s v="1 to 2 hours"/>
    <n v="5"/>
  </r>
  <r>
    <s v="Call_7535"/>
    <s v="C0015"/>
    <n v="154"/>
    <s v="R02"/>
    <d v="2023-03-22T00:00:00"/>
    <n v="172"/>
    <n v="3.1"/>
    <n v="2023"/>
    <s v="Wednesday"/>
    <s v="More than 2 hours"/>
    <n v="3"/>
  </r>
  <r>
    <s v="Call_7536"/>
    <s v="C0010"/>
    <n v="131"/>
    <s v="R02"/>
    <d v="2023-03-22T00:00:00"/>
    <n v="58"/>
    <n v="4.9000000000000004"/>
    <n v="2023"/>
    <s v="Wednesday"/>
    <s v="More than 2 hours"/>
    <n v="5"/>
  </r>
  <r>
    <s v="Call_7537"/>
    <s v="C0007"/>
    <n v="111"/>
    <s v="R04"/>
    <d v="2023-03-23T00:00:00"/>
    <n v="86"/>
    <n v="4.0999999999999996"/>
    <n v="2023"/>
    <s v="Thursday"/>
    <s v="1 to 2 hours"/>
    <n v="4"/>
  </r>
  <r>
    <s v="Call_7538"/>
    <s v="C0012"/>
    <n v="142"/>
    <s v="R04"/>
    <d v="2023-03-24T00:00:00"/>
    <n v="31"/>
    <n v="4.4000000000000004"/>
    <n v="2023"/>
    <s v="Friday"/>
    <s v="More than 2 hours"/>
    <n v="4"/>
  </r>
  <r>
    <s v="Call_7539"/>
    <s v="C0005"/>
    <n v="93"/>
    <s v="R03"/>
    <d v="2023-03-24T00:00:00"/>
    <n v="72"/>
    <n v="4.4000000000000004"/>
    <n v="2023"/>
    <s v="Friday"/>
    <s v="1 to 2 hours"/>
    <n v="4"/>
  </r>
  <r>
    <s v="Call_7540"/>
    <s v="C0012"/>
    <n v="125"/>
    <s v="R05"/>
    <d v="2023-03-25T00:00:00"/>
    <n v="27"/>
    <n v="3"/>
    <n v="2023"/>
    <s v="Saturday"/>
    <s v="More than 2 hours"/>
    <n v="3"/>
  </r>
  <r>
    <s v="Call_7541"/>
    <s v="C0008"/>
    <n v="76"/>
    <s v="R02"/>
    <d v="2023-03-25T00:00:00"/>
    <n v="110"/>
    <n v="4.4000000000000004"/>
    <n v="2023"/>
    <s v="Saturday"/>
    <s v="1 to 2 hours"/>
    <n v="4"/>
  </r>
  <r>
    <s v="Call_7542"/>
    <s v="C0006"/>
    <n v="69"/>
    <s v="R03"/>
    <d v="2023-03-25T00:00:00"/>
    <n v="126"/>
    <n v="3.7"/>
    <n v="2023"/>
    <s v="Saturday"/>
    <s v="1 to 2 hours"/>
    <n v="4"/>
  </r>
  <r>
    <s v="Call_7543"/>
    <s v="C0009"/>
    <n v="149"/>
    <s v="R05"/>
    <d v="2023-03-25T00:00:00"/>
    <n v="60"/>
    <n v="3.9"/>
    <n v="2023"/>
    <s v="Saturday"/>
    <s v="More than 2 hours"/>
    <n v="4"/>
  </r>
  <r>
    <s v="Call_7544"/>
    <s v="C0012"/>
    <n v="57"/>
    <s v="R03"/>
    <d v="2023-03-25T00:00:00"/>
    <n v="35"/>
    <n v="3.5"/>
    <n v="2023"/>
    <s v="Saturday"/>
    <s v="30 to 60 mins"/>
    <n v="4"/>
  </r>
  <r>
    <s v="Call_7545"/>
    <s v="C0004"/>
    <n v="113"/>
    <s v="R02"/>
    <d v="2023-03-25T00:00:00"/>
    <n v="81"/>
    <n v="3.5"/>
    <n v="2023"/>
    <s v="Saturday"/>
    <s v="1 to 2 hours"/>
    <n v="4"/>
  </r>
  <r>
    <s v="Call_7546"/>
    <s v="C0003"/>
    <n v="160"/>
    <s v="R05"/>
    <d v="2023-03-25T00:00:00"/>
    <n v="116"/>
    <n v="3.4"/>
    <n v="2023"/>
    <s v="Saturday"/>
    <s v="More than 2 hours"/>
    <n v="3"/>
  </r>
  <r>
    <s v="Call_7547"/>
    <s v="C0011"/>
    <n v="158"/>
    <s v="R01"/>
    <d v="2023-03-25T00:00:00"/>
    <n v="60"/>
    <n v="4.5"/>
    <n v="2023"/>
    <s v="Saturday"/>
    <s v="More than 2 hours"/>
    <n v="5"/>
  </r>
  <r>
    <s v="Call_7548"/>
    <s v="C0006"/>
    <n v="77"/>
    <s v="R05"/>
    <d v="2023-03-26T00:00:00"/>
    <n v="130"/>
    <n v="4.2"/>
    <n v="2023"/>
    <s v="Sunday"/>
    <s v="1 to 2 hours"/>
    <n v="4"/>
  </r>
  <r>
    <s v="Call_7549"/>
    <s v="C0013"/>
    <n v="118"/>
    <s v="R04"/>
    <d v="2023-03-26T00:00:00"/>
    <n v="99"/>
    <n v="5"/>
    <n v="2023"/>
    <s v="Sunday"/>
    <s v="1 to 2 hours"/>
    <n v="5"/>
  </r>
  <r>
    <s v="Call_7550"/>
    <s v="C0015"/>
    <n v="75"/>
    <s v="R02"/>
    <d v="2023-03-26T00:00:00"/>
    <n v="135"/>
    <n v="4.7"/>
    <n v="2023"/>
    <s v="Sunday"/>
    <s v="1 to 2 hours"/>
    <n v="5"/>
  </r>
  <r>
    <s v="Call_7551"/>
    <s v="C0004"/>
    <n v="103"/>
    <s v="R05"/>
    <d v="2023-03-26T00:00:00"/>
    <n v="42"/>
    <n v="2.8"/>
    <n v="2023"/>
    <s v="Sunday"/>
    <s v="1 to 2 hours"/>
    <n v="3"/>
  </r>
  <r>
    <s v="Call_7552"/>
    <s v="C0006"/>
    <n v="116"/>
    <s v="R04"/>
    <d v="2023-03-27T00:00:00"/>
    <n v="63"/>
    <n v="3.4"/>
    <n v="2023"/>
    <s v="Monday"/>
    <s v="1 to 2 hours"/>
    <n v="3"/>
  </r>
  <r>
    <s v="Call_7553"/>
    <s v="C0007"/>
    <n v="61"/>
    <s v="R01"/>
    <d v="2023-03-27T00:00:00"/>
    <n v="140"/>
    <n v="1.8"/>
    <n v="2023"/>
    <s v="Monday"/>
    <s v="1 to 2 hours"/>
    <n v="2"/>
  </r>
  <r>
    <s v="Call_7554"/>
    <s v="C0012"/>
    <n v="126"/>
    <s v="R02"/>
    <d v="2023-03-27T00:00:00"/>
    <n v="128"/>
    <n v="4.2"/>
    <n v="2023"/>
    <s v="Monday"/>
    <s v="More than 2 hours"/>
    <n v="4"/>
  </r>
  <r>
    <s v="Call_7555"/>
    <s v="C0002"/>
    <n v="141"/>
    <s v="R03"/>
    <d v="2023-03-27T00:00:00"/>
    <n v="80"/>
    <n v="4.4000000000000004"/>
    <n v="2023"/>
    <s v="Monday"/>
    <s v="More than 2 hours"/>
    <n v="4"/>
  </r>
  <r>
    <s v="Call_7556"/>
    <s v="C0011"/>
    <n v="95"/>
    <s v="R04"/>
    <d v="2023-03-27T00:00:00"/>
    <n v="28"/>
    <n v="2.7"/>
    <n v="2023"/>
    <s v="Monday"/>
    <s v="1 to 2 hours"/>
    <n v="3"/>
  </r>
  <r>
    <s v="Call_7557"/>
    <s v="C0015"/>
    <n v="39"/>
    <s v="R01"/>
    <d v="2023-03-28T00:00:00"/>
    <n v="81"/>
    <n v="5"/>
    <n v="2023"/>
    <s v="Tuesday"/>
    <s v="30 to 60 mins"/>
    <n v="5"/>
  </r>
  <r>
    <s v="Call_7558"/>
    <s v="C0004"/>
    <n v="127"/>
    <s v="R02"/>
    <d v="2023-03-28T00:00:00"/>
    <n v="99"/>
    <n v="3.9"/>
    <n v="2023"/>
    <s v="Tuesday"/>
    <s v="More than 2 hours"/>
    <n v="4"/>
  </r>
  <r>
    <s v="Call_7559"/>
    <s v="C0007"/>
    <n v="78"/>
    <s v="R02"/>
    <d v="2023-03-28T00:00:00"/>
    <n v="43"/>
    <n v="3.8"/>
    <n v="2023"/>
    <s v="Tuesday"/>
    <s v="1 to 2 hours"/>
    <n v="4"/>
  </r>
  <r>
    <s v="Call_7560"/>
    <s v="C0013"/>
    <n v="40"/>
    <s v="R02"/>
    <d v="2023-03-28T00:00:00"/>
    <n v="34"/>
    <n v="4.5999999999999996"/>
    <n v="2023"/>
    <s v="Tuesday"/>
    <s v="30 to 60 mins"/>
    <n v="5"/>
  </r>
  <r>
    <s v="Call_7561"/>
    <s v="C0007"/>
    <n v="56"/>
    <s v="R01"/>
    <d v="2023-03-28T00:00:00"/>
    <n v="225"/>
    <n v="4.5999999999999996"/>
    <n v="2023"/>
    <s v="Tuesday"/>
    <s v="30 to 60 mins"/>
    <n v="5"/>
  </r>
  <r>
    <s v="Call_7562"/>
    <s v="C0015"/>
    <n v="59"/>
    <s v="R03"/>
    <d v="2023-03-28T00:00:00"/>
    <n v="210"/>
    <n v="4.5"/>
    <n v="2023"/>
    <s v="Tuesday"/>
    <s v="30 to 60 mins"/>
    <n v="5"/>
  </r>
  <r>
    <s v="Call_7563"/>
    <s v="C0012"/>
    <n v="30"/>
    <s v="R02"/>
    <d v="2023-03-28T00:00:00"/>
    <n v="168"/>
    <n v="4.2"/>
    <n v="2023"/>
    <s v="Tuesday"/>
    <s v="10 to 30 mins"/>
    <n v="4"/>
  </r>
  <r>
    <s v="Call_7564"/>
    <s v="C0013"/>
    <n v="63"/>
    <s v="R05"/>
    <d v="2023-03-29T00:00:00"/>
    <n v="82"/>
    <n v="4.5"/>
    <n v="2023"/>
    <s v="Wednesday"/>
    <s v="1 to 2 hours"/>
    <n v="5"/>
  </r>
  <r>
    <s v="Call_7565"/>
    <s v="C0005"/>
    <n v="56"/>
    <s v="R04"/>
    <d v="2023-03-29T00:00:00"/>
    <n v="88"/>
    <n v="4.0999999999999996"/>
    <n v="2023"/>
    <s v="Wednesday"/>
    <s v="30 to 60 mins"/>
    <n v="4"/>
  </r>
  <r>
    <s v="Call_7566"/>
    <s v="C0008"/>
    <n v="95"/>
    <s v="R05"/>
    <d v="2023-03-29T00:00:00"/>
    <n v="111"/>
    <n v="3.3"/>
    <n v="2023"/>
    <s v="Wednesday"/>
    <s v="1 to 2 hours"/>
    <n v="3"/>
  </r>
  <r>
    <s v="Call_7567"/>
    <s v="C0001"/>
    <n v="128"/>
    <s v="R03"/>
    <d v="2023-03-29T00:00:00"/>
    <n v="60"/>
    <n v="3.8"/>
    <n v="2023"/>
    <s v="Wednesday"/>
    <s v="More than 2 hours"/>
    <n v="4"/>
  </r>
  <r>
    <s v="Call_7568"/>
    <s v="C0011"/>
    <n v="49"/>
    <s v="R05"/>
    <d v="2023-03-29T00:00:00"/>
    <n v="80"/>
    <n v="3"/>
    <n v="2023"/>
    <s v="Wednesday"/>
    <s v="30 to 60 mins"/>
    <n v="3"/>
  </r>
  <r>
    <s v="Call_7569"/>
    <s v="C0001"/>
    <n v="89"/>
    <s v="R01"/>
    <d v="2023-03-31T00:00:00"/>
    <n v="90"/>
    <n v="4.5999999999999996"/>
    <n v="2023"/>
    <s v="Friday"/>
    <s v="1 to 2 hours"/>
    <n v="5"/>
  </r>
  <r>
    <s v="Call_7570"/>
    <s v="C0009"/>
    <n v="87"/>
    <s v="R05"/>
    <d v="2023-03-31T00:00:00"/>
    <n v="225"/>
    <n v="2.9"/>
    <n v="2023"/>
    <s v="Friday"/>
    <s v="1 to 2 hours"/>
    <n v="3"/>
  </r>
  <r>
    <s v="Call_7571"/>
    <s v="C0003"/>
    <n v="60"/>
    <s v="R02"/>
    <d v="2023-04-01T00:00:00"/>
    <n v="215"/>
    <n v="3.2"/>
    <n v="2023"/>
    <s v="Saturday"/>
    <s v="30 to 60 mins"/>
    <n v="3"/>
  </r>
  <r>
    <s v="Call_7572"/>
    <s v="C0014"/>
    <n v="42"/>
    <s v="R01"/>
    <d v="2023-04-01T00:00:00"/>
    <n v="45"/>
    <n v="1.5"/>
    <n v="2023"/>
    <s v="Saturday"/>
    <s v="30 to 60 mins"/>
    <n v="2"/>
  </r>
  <r>
    <s v="Call_7573"/>
    <s v="C0010"/>
    <n v="99"/>
    <s v="R02"/>
    <d v="2023-04-01T00:00:00"/>
    <n v="74"/>
    <n v="4"/>
    <n v="2023"/>
    <s v="Saturday"/>
    <s v="1 to 2 hours"/>
    <n v="4"/>
  </r>
  <r>
    <s v="Call_7574"/>
    <s v="C0005"/>
    <n v="20"/>
    <s v="R01"/>
    <d v="2023-04-01T00:00:00"/>
    <n v="60"/>
    <n v="3.6"/>
    <n v="2023"/>
    <s v="Saturday"/>
    <s v="10 to 30 mins"/>
    <n v="4"/>
  </r>
  <r>
    <s v="Call_7575"/>
    <s v="C0013"/>
    <n v="65"/>
    <s v="R02"/>
    <d v="2023-04-01T00:00:00"/>
    <n v="64"/>
    <n v="3.7"/>
    <n v="2023"/>
    <s v="Saturday"/>
    <s v="1 to 2 hours"/>
    <n v="4"/>
  </r>
  <r>
    <s v="Call_7576"/>
    <s v="C0012"/>
    <n v="71"/>
    <s v="R05"/>
    <d v="2023-04-02T00:00:00"/>
    <n v="110"/>
    <n v="4.8"/>
    <n v="2023"/>
    <s v="Sunday"/>
    <s v="1 to 2 hours"/>
    <n v="5"/>
  </r>
  <r>
    <s v="Call_7577"/>
    <s v="C0004"/>
    <n v="95"/>
    <s v="R03"/>
    <d v="2023-04-02T00:00:00"/>
    <n v="52"/>
    <n v="1.2"/>
    <n v="2023"/>
    <s v="Sunday"/>
    <s v="1 to 2 hours"/>
    <n v="1"/>
  </r>
  <r>
    <s v="Call_7578"/>
    <s v="C0005"/>
    <n v="81"/>
    <s v="R04"/>
    <d v="2023-04-03T00:00:00"/>
    <n v="160"/>
    <n v="4.7"/>
    <n v="2023"/>
    <s v="Monday"/>
    <s v="1 to 2 hours"/>
    <n v="5"/>
  </r>
  <r>
    <s v="Call_7579"/>
    <s v="C0006"/>
    <n v="137"/>
    <s v="R04"/>
    <d v="2023-04-03T00:00:00"/>
    <n v="215"/>
    <n v="4.7"/>
    <n v="2023"/>
    <s v="Monday"/>
    <s v="More than 2 hours"/>
    <n v="5"/>
  </r>
  <r>
    <s v="Call_7580"/>
    <s v="C0006"/>
    <n v="40"/>
    <s v="R03"/>
    <d v="2023-04-03T00:00:00"/>
    <n v="220"/>
    <n v="4.5"/>
    <n v="2023"/>
    <s v="Monday"/>
    <s v="30 to 60 mins"/>
    <n v="5"/>
  </r>
  <r>
    <s v="Call_7581"/>
    <s v="C0010"/>
    <n v="111"/>
    <s v="R02"/>
    <d v="2023-04-04T00:00:00"/>
    <n v="175"/>
    <n v="3.5"/>
    <n v="2023"/>
    <s v="Tuesday"/>
    <s v="1 to 2 hours"/>
    <n v="4"/>
  </r>
  <r>
    <s v="Call_7582"/>
    <s v="C0012"/>
    <n v="106"/>
    <s v="R02"/>
    <d v="2023-04-04T00:00:00"/>
    <n v="145"/>
    <n v="4.0999999999999996"/>
    <n v="2023"/>
    <s v="Tuesday"/>
    <s v="1 to 2 hours"/>
    <n v="4"/>
  </r>
  <r>
    <s v="Call_7583"/>
    <s v="C0014"/>
    <n v="133"/>
    <s v="R01"/>
    <d v="2023-04-04T00:00:00"/>
    <n v="72"/>
    <n v="4.4000000000000004"/>
    <n v="2023"/>
    <s v="Tuesday"/>
    <s v="More than 2 hours"/>
    <n v="4"/>
  </r>
  <r>
    <s v="Call_7584"/>
    <s v="C0007"/>
    <n v="38"/>
    <s v="R02"/>
    <d v="2023-04-05T00:00:00"/>
    <n v="81"/>
    <n v="3.6"/>
    <n v="2023"/>
    <s v="Wednesday"/>
    <s v="30 to 60 mins"/>
    <n v="4"/>
  </r>
  <r>
    <s v="Call_7585"/>
    <s v="C0015"/>
    <n v="130"/>
    <s v="R03"/>
    <d v="2023-04-05T00:00:00"/>
    <n v="54"/>
    <n v="4.0999999999999996"/>
    <n v="2023"/>
    <s v="Wednesday"/>
    <s v="More than 2 hours"/>
    <n v="4"/>
  </r>
  <r>
    <s v="Call_7586"/>
    <s v="C0013"/>
    <n v="23"/>
    <s v="R01"/>
    <d v="2023-04-05T00:00:00"/>
    <n v="105"/>
    <n v="4.8"/>
    <n v="2023"/>
    <s v="Wednesday"/>
    <s v="10 to 30 mins"/>
    <n v="5"/>
  </r>
  <r>
    <s v="Call_7587"/>
    <s v="C0015"/>
    <n v="124"/>
    <s v="R02"/>
    <d v="2023-04-06T00:00:00"/>
    <n v="176"/>
    <n v="3.9"/>
    <n v="2023"/>
    <s v="Thursday"/>
    <s v="More than 2 hours"/>
    <n v="4"/>
  </r>
  <r>
    <s v="Call_7588"/>
    <s v="C0005"/>
    <n v="107"/>
    <s v="R02"/>
    <d v="2023-04-06T00:00:00"/>
    <n v="115"/>
    <n v="3.8"/>
    <n v="2023"/>
    <s v="Thursday"/>
    <s v="1 to 2 hours"/>
    <n v="4"/>
  </r>
  <r>
    <s v="Call_7589"/>
    <s v="C0006"/>
    <n v="60"/>
    <s v="R05"/>
    <d v="2023-04-06T00:00:00"/>
    <n v="116"/>
    <n v="3.9"/>
    <n v="2023"/>
    <s v="Thursday"/>
    <s v="30 to 60 mins"/>
    <n v="4"/>
  </r>
  <r>
    <s v="Call_7590"/>
    <s v="C0006"/>
    <n v="158"/>
    <s v="R03"/>
    <d v="2023-04-06T00:00:00"/>
    <n v="100"/>
    <n v="4.0999999999999996"/>
    <n v="2023"/>
    <s v="Thursday"/>
    <s v="More than 2 hours"/>
    <n v="4"/>
  </r>
  <r>
    <s v="Call_7591"/>
    <s v="C0009"/>
    <n v="110"/>
    <s v="R03"/>
    <d v="2023-04-07T00:00:00"/>
    <n v="36"/>
    <n v="2.2000000000000002"/>
    <n v="2023"/>
    <s v="Friday"/>
    <s v="1 to 2 hours"/>
    <n v="2"/>
  </r>
  <r>
    <s v="Call_7592"/>
    <s v="C0001"/>
    <n v="70"/>
    <s v="R03"/>
    <d v="2023-04-07T00:00:00"/>
    <n v="114"/>
    <n v="5"/>
    <n v="2023"/>
    <s v="Friday"/>
    <s v="1 to 2 hours"/>
    <n v="5"/>
  </r>
  <r>
    <s v="Call_7593"/>
    <s v="C0001"/>
    <n v="150"/>
    <s v="R05"/>
    <d v="2023-04-07T00:00:00"/>
    <n v="24"/>
    <n v="3.8"/>
    <n v="2023"/>
    <s v="Friday"/>
    <s v="More than 2 hours"/>
    <n v="4"/>
  </r>
  <r>
    <s v="Call_7594"/>
    <s v="C0007"/>
    <n v="36"/>
    <s v="R02"/>
    <d v="2023-04-07T00:00:00"/>
    <n v="135"/>
    <n v="4.5999999999999996"/>
    <n v="2023"/>
    <s v="Friday"/>
    <s v="30 to 60 mins"/>
    <n v="5"/>
  </r>
  <r>
    <s v="Call_7595"/>
    <s v="C0015"/>
    <n v="74"/>
    <s v="R02"/>
    <d v="2023-04-07T00:00:00"/>
    <n v="30"/>
    <n v="4"/>
    <n v="2023"/>
    <s v="Friday"/>
    <s v="1 to 2 hours"/>
    <n v="4"/>
  </r>
  <r>
    <s v="Call_7596"/>
    <s v="C0004"/>
    <n v="75"/>
    <s v="R02"/>
    <d v="2023-04-07T00:00:00"/>
    <n v="84"/>
    <n v="2.8"/>
    <n v="2023"/>
    <s v="Friday"/>
    <s v="1 to 2 hours"/>
    <n v="3"/>
  </r>
  <r>
    <s v="Call_7597"/>
    <s v="C0008"/>
    <n v="70"/>
    <s v="R04"/>
    <d v="2023-04-07T00:00:00"/>
    <n v="42"/>
    <n v="4.4000000000000004"/>
    <n v="2023"/>
    <s v="Friday"/>
    <s v="1 to 2 hours"/>
    <n v="4"/>
  </r>
  <r>
    <s v="Call_7598"/>
    <s v="C0009"/>
    <n v="23"/>
    <s v="R03"/>
    <d v="2023-04-07T00:00:00"/>
    <n v="117"/>
    <n v="2.4"/>
    <n v="2023"/>
    <s v="Friday"/>
    <s v="10 to 30 mins"/>
    <n v="2"/>
  </r>
  <r>
    <s v="Call_7599"/>
    <s v="C0010"/>
    <n v="104"/>
    <s v="R01"/>
    <d v="2023-04-07T00:00:00"/>
    <n v="164"/>
    <n v="4"/>
    <n v="2023"/>
    <s v="Friday"/>
    <s v="1 to 2 hours"/>
    <n v="4"/>
  </r>
  <r>
    <s v="Call_7600"/>
    <s v="C0001"/>
    <n v="95"/>
    <s v="R04"/>
    <d v="2023-04-08T00:00:00"/>
    <n v="123"/>
    <n v="4.4000000000000004"/>
    <n v="2023"/>
    <s v="Saturday"/>
    <s v="1 to 2 hours"/>
    <n v="4"/>
  </r>
  <r>
    <s v="Call_7601"/>
    <s v="C0011"/>
    <n v="49"/>
    <s v="R05"/>
    <d v="2023-04-08T00:00:00"/>
    <n v="172"/>
    <n v="2.9"/>
    <n v="2023"/>
    <s v="Saturday"/>
    <s v="30 to 60 mins"/>
    <n v="3"/>
  </r>
  <r>
    <s v="Call_7602"/>
    <s v="C0012"/>
    <n v="8"/>
    <s v="R03"/>
    <d v="2023-04-08T00:00:00"/>
    <n v="20"/>
    <n v="4.8"/>
    <n v="2023"/>
    <s v="Saturday"/>
    <s v="Under 10 mins"/>
    <n v="5"/>
  </r>
  <r>
    <s v="Call_7603"/>
    <s v="C0001"/>
    <n v="157"/>
    <s v="R05"/>
    <d v="2023-04-08T00:00:00"/>
    <n v="72"/>
    <n v="3.7"/>
    <n v="2023"/>
    <s v="Saturday"/>
    <s v="More than 2 hours"/>
    <n v="4"/>
  </r>
  <r>
    <s v="Call_7604"/>
    <s v="C0005"/>
    <n v="74"/>
    <s v="R02"/>
    <d v="2023-04-08T00:00:00"/>
    <n v="32"/>
    <n v="4.8"/>
    <n v="2023"/>
    <s v="Saturday"/>
    <s v="1 to 2 hours"/>
    <n v="5"/>
  </r>
  <r>
    <s v="Call_7605"/>
    <s v="C0009"/>
    <n v="72"/>
    <s v="R04"/>
    <d v="2023-04-08T00:00:00"/>
    <n v="140"/>
    <n v="3.2"/>
    <n v="2023"/>
    <s v="Saturday"/>
    <s v="1 to 2 hours"/>
    <n v="3"/>
  </r>
  <r>
    <s v="Call_7606"/>
    <s v="C0005"/>
    <n v="79"/>
    <s v="R02"/>
    <d v="2023-04-09T00:00:00"/>
    <n v="120"/>
    <n v="4.9000000000000004"/>
    <n v="2023"/>
    <s v="Sunday"/>
    <s v="1 to 2 hours"/>
    <n v="5"/>
  </r>
  <r>
    <s v="Call_7607"/>
    <s v="C0015"/>
    <n v="23"/>
    <s v="R02"/>
    <d v="2023-04-09T00:00:00"/>
    <n v="86"/>
    <n v="2.2000000000000002"/>
    <n v="2023"/>
    <s v="Sunday"/>
    <s v="10 to 30 mins"/>
    <n v="2"/>
  </r>
  <r>
    <s v="Call_7608"/>
    <s v="C0004"/>
    <n v="69"/>
    <s v="R02"/>
    <d v="2023-04-09T00:00:00"/>
    <n v="132"/>
    <n v="5"/>
    <n v="2023"/>
    <s v="Sunday"/>
    <s v="1 to 2 hours"/>
    <n v="5"/>
  </r>
  <r>
    <s v="Call_7609"/>
    <s v="C0006"/>
    <n v="64"/>
    <s v="R02"/>
    <d v="2023-04-09T00:00:00"/>
    <n v="80"/>
    <n v="3.3"/>
    <n v="2023"/>
    <s v="Sunday"/>
    <s v="1 to 2 hours"/>
    <n v="3"/>
  </r>
  <r>
    <s v="Call_7610"/>
    <s v="C0002"/>
    <n v="47"/>
    <s v="R05"/>
    <d v="2023-04-09T00:00:00"/>
    <n v="132"/>
    <n v="3.7"/>
    <n v="2023"/>
    <s v="Sunday"/>
    <s v="30 to 60 mins"/>
    <n v="4"/>
  </r>
  <r>
    <s v="Call_7611"/>
    <s v="C0005"/>
    <n v="55"/>
    <s v="R04"/>
    <d v="2023-04-09T00:00:00"/>
    <n v="27"/>
    <n v="3.7"/>
    <n v="2023"/>
    <s v="Sunday"/>
    <s v="30 to 60 mins"/>
    <n v="4"/>
  </r>
  <r>
    <s v="Call_7612"/>
    <s v="C0010"/>
    <n v="104"/>
    <s v="R04"/>
    <d v="2023-04-10T00:00:00"/>
    <n v="68"/>
    <n v="3.6"/>
    <n v="2023"/>
    <s v="Monday"/>
    <s v="1 to 2 hours"/>
    <n v="4"/>
  </r>
  <r>
    <s v="Call_7613"/>
    <s v="C0002"/>
    <n v="116"/>
    <s v="R02"/>
    <d v="2023-04-10T00:00:00"/>
    <n v="22"/>
    <n v="4.7"/>
    <n v="2023"/>
    <s v="Monday"/>
    <s v="1 to 2 hours"/>
    <n v="5"/>
  </r>
  <r>
    <s v="Call_7614"/>
    <s v="C0015"/>
    <n v="99"/>
    <s v="R04"/>
    <d v="2023-04-10T00:00:00"/>
    <n v="42"/>
    <n v="3.1"/>
    <n v="2023"/>
    <s v="Monday"/>
    <s v="1 to 2 hours"/>
    <n v="3"/>
  </r>
  <r>
    <s v="Call_7615"/>
    <s v="C0010"/>
    <n v="84"/>
    <s v="R04"/>
    <d v="2023-04-11T00:00:00"/>
    <n v="38"/>
    <n v="3.3"/>
    <n v="2023"/>
    <s v="Tuesday"/>
    <s v="1 to 2 hours"/>
    <n v="3"/>
  </r>
  <r>
    <s v="Call_7616"/>
    <s v="C0012"/>
    <n v="159"/>
    <s v="R04"/>
    <d v="2023-04-11T00:00:00"/>
    <n v="42"/>
    <n v="4.5"/>
    <n v="2023"/>
    <s v="Tuesday"/>
    <s v="More than 2 hours"/>
    <n v="5"/>
  </r>
  <r>
    <s v="Call_7617"/>
    <s v="C0007"/>
    <n v="25"/>
    <s v="R05"/>
    <d v="2023-04-11T00:00:00"/>
    <n v="75"/>
    <n v="3.9"/>
    <n v="2023"/>
    <s v="Tuesday"/>
    <s v="10 to 30 mins"/>
    <n v="4"/>
  </r>
  <r>
    <s v="Call_7618"/>
    <s v="C0012"/>
    <n v="53"/>
    <s v="R03"/>
    <d v="2023-04-12T00:00:00"/>
    <n v="23"/>
    <n v="4.9000000000000004"/>
    <n v="2023"/>
    <s v="Wednesday"/>
    <s v="30 to 60 mins"/>
    <n v="5"/>
  </r>
  <r>
    <s v="Call_7619"/>
    <s v="C0012"/>
    <n v="89"/>
    <s v="R05"/>
    <d v="2023-04-12T00:00:00"/>
    <n v="200"/>
    <n v="4.8"/>
    <n v="2023"/>
    <s v="Wednesday"/>
    <s v="1 to 2 hours"/>
    <n v="5"/>
  </r>
  <r>
    <s v="Call_7620"/>
    <s v="C0014"/>
    <n v="73"/>
    <s v="R02"/>
    <d v="2023-04-13T00:00:00"/>
    <n v="45"/>
    <n v="3.6"/>
    <n v="2023"/>
    <s v="Thursday"/>
    <s v="1 to 2 hours"/>
    <n v="4"/>
  </r>
  <r>
    <s v="Call_7621"/>
    <s v="C0015"/>
    <n v="50"/>
    <s v="R02"/>
    <d v="2023-04-13T00:00:00"/>
    <n v="105"/>
    <n v="3.5"/>
    <n v="2023"/>
    <s v="Thursday"/>
    <s v="30 to 60 mins"/>
    <n v="4"/>
  </r>
  <r>
    <s v="Call_7622"/>
    <s v="C0011"/>
    <n v="98"/>
    <s v="R02"/>
    <d v="2023-04-13T00:00:00"/>
    <n v="22"/>
    <n v="3.8"/>
    <n v="2023"/>
    <s v="Thursday"/>
    <s v="1 to 2 hours"/>
    <n v="4"/>
  </r>
  <r>
    <s v="Call_7623"/>
    <s v="C0013"/>
    <n v="114"/>
    <s v="R04"/>
    <d v="2023-04-14T00:00:00"/>
    <n v="126"/>
    <n v="4.4000000000000004"/>
    <n v="2023"/>
    <s v="Friday"/>
    <s v="1 to 2 hours"/>
    <n v="4"/>
  </r>
  <r>
    <s v="Call_7624"/>
    <s v="C0006"/>
    <n v="67"/>
    <s v="R04"/>
    <d v="2023-04-14T00:00:00"/>
    <n v="35"/>
    <n v="3"/>
    <n v="2023"/>
    <s v="Friday"/>
    <s v="1 to 2 hours"/>
    <n v="3"/>
  </r>
  <r>
    <s v="Call_7625"/>
    <s v="C0005"/>
    <n v="91"/>
    <s v="R02"/>
    <d v="2023-04-14T00:00:00"/>
    <n v="84"/>
    <n v="4.5"/>
    <n v="2023"/>
    <s v="Friday"/>
    <s v="1 to 2 hours"/>
    <n v="5"/>
  </r>
  <r>
    <s v="Call_7626"/>
    <s v="C0008"/>
    <n v="67"/>
    <s v="R02"/>
    <d v="2023-04-15T00:00:00"/>
    <n v="172"/>
    <n v="4.5"/>
    <n v="2023"/>
    <s v="Saturday"/>
    <s v="1 to 2 hours"/>
    <n v="5"/>
  </r>
  <r>
    <s v="Call_7627"/>
    <s v="C0013"/>
    <n v="139"/>
    <s v="R05"/>
    <d v="2023-04-15T00:00:00"/>
    <n v="114"/>
    <n v="4"/>
    <n v="2023"/>
    <s v="Saturday"/>
    <s v="More than 2 hours"/>
    <n v="4"/>
  </r>
  <r>
    <s v="Call_7628"/>
    <s v="C0008"/>
    <n v="102"/>
    <s v="R05"/>
    <d v="2023-04-15T00:00:00"/>
    <n v="60"/>
    <n v="3.8"/>
    <n v="2023"/>
    <s v="Saturday"/>
    <s v="1 to 2 hours"/>
    <n v="4"/>
  </r>
  <r>
    <s v="Call_7629"/>
    <s v="C0001"/>
    <n v="108"/>
    <s v="R01"/>
    <d v="2023-04-15T00:00:00"/>
    <n v="26"/>
    <n v="3.3"/>
    <n v="2023"/>
    <s v="Saturday"/>
    <s v="1 to 2 hours"/>
    <n v="3"/>
  </r>
  <r>
    <s v="Call_7630"/>
    <s v="C0007"/>
    <n v="66"/>
    <s v="R02"/>
    <d v="2023-04-15T00:00:00"/>
    <n v="210"/>
    <n v="4.3"/>
    <n v="2023"/>
    <s v="Saturday"/>
    <s v="1 to 2 hours"/>
    <n v="4"/>
  </r>
  <r>
    <s v="Call_7631"/>
    <s v="C0009"/>
    <n v="85"/>
    <s v="R05"/>
    <d v="2023-04-15T00:00:00"/>
    <n v="129"/>
    <n v="4.2"/>
    <n v="2023"/>
    <s v="Saturday"/>
    <s v="1 to 2 hours"/>
    <n v="4"/>
  </r>
  <r>
    <s v="Call_7632"/>
    <s v="C0006"/>
    <n v="55"/>
    <s v="R01"/>
    <d v="2023-04-15T00:00:00"/>
    <n v="215"/>
    <n v="4.3"/>
    <n v="2023"/>
    <s v="Saturday"/>
    <s v="30 to 60 mins"/>
    <n v="4"/>
  </r>
  <r>
    <s v="Call_7633"/>
    <s v="C0001"/>
    <n v="17"/>
    <s v="R03"/>
    <d v="2023-04-15T00:00:00"/>
    <n v="69"/>
    <n v="4.5999999999999996"/>
    <n v="2023"/>
    <s v="Saturday"/>
    <s v="10 to 30 mins"/>
    <n v="5"/>
  </r>
  <r>
    <s v="Call_7634"/>
    <s v="C0006"/>
    <n v="128"/>
    <s v="R03"/>
    <d v="2023-04-15T00:00:00"/>
    <n v="140"/>
    <n v="3"/>
    <n v="2023"/>
    <s v="Saturday"/>
    <s v="More than 2 hours"/>
    <n v="3"/>
  </r>
  <r>
    <s v="Call_7635"/>
    <s v="C0015"/>
    <n v="45"/>
    <s v="R01"/>
    <d v="2023-04-16T00:00:00"/>
    <n v="156"/>
    <n v="2.7"/>
    <n v="2023"/>
    <s v="Sunday"/>
    <s v="30 to 60 mins"/>
    <n v="3"/>
  </r>
  <r>
    <s v="Call_7636"/>
    <s v="C0001"/>
    <n v="41"/>
    <s v="R03"/>
    <d v="2023-04-16T00:00:00"/>
    <n v="164"/>
    <n v="3.1"/>
    <n v="2023"/>
    <s v="Sunday"/>
    <s v="30 to 60 mins"/>
    <n v="3"/>
  </r>
  <r>
    <s v="Call_7637"/>
    <s v="C0002"/>
    <n v="49"/>
    <s v="R03"/>
    <d v="2023-04-16T00:00:00"/>
    <n v="195"/>
    <n v="2.6"/>
    <n v="2023"/>
    <s v="Sunday"/>
    <s v="30 to 60 mins"/>
    <n v="3"/>
  </r>
  <r>
    <s v="Call_7638"/>
    <s v="C0004"/>
    <n v="21"/>
    <s v="R04"/>
    <d v="2023-04-16T00:00:00"/>
    <n v="74"/>
    <n v="4.5999999999999996"/>
    <n v="2023"/>
    <s v="Sunday"/>
    <s v="10 to 30 mins"/>
    <n v="5"/>
  </r>
  <r>
    <s v="Call_7639"/>
    <s v="C0012"/>
    <n v="133"/>
    <s v="R01"/>
    <d v="2023-04-16T00:00:00"/>
    <n v="100"/>
    <n v="4"/>
    <n v="2023"/>
    <s v="Sunday"/>
    <s v="More than 2 hours"/>
    <n v="4"/>
  </r>
  <r>
    <s v="Call_7640"/>
    <s v="C0003"/>
    <n v="135"/>
    <s v="R02"/>
    <d v="2023-04-16T00:00:00"/>
    <n v="185"/>
    <n v="4.5"/>
    <n v="2023"/>
    <s v="Sunday"/>
    <s v="More than 2 hours"/>
    <n v="5"/>
  </r>
  <r>
    <s v="Call_7641"/>
    <s v="C0013"/>
    <n v="69"/>
    <s v="R01"/>
    <d v="2023-04-16T00:00:00"/>
    <n v="130"/>
    <n v="1.9"/>
    <n v="2023"/>
    <s v="Sunday"/>
    <s v="1 to 2 hours"/>
    <n v="2"/>
  </r>
  <r>
    <s v="Call_7642"/>
    <s v="C0010"/>
    <n v="110"/>
    <s v="R04"/>
    <d v="2023-04-17T00:00:00"/>
    <n v="21"/>
    <n v="2.6"/>
    <n v="2023"/>
    <s v="Monday"/>
    <s v="1 to 2 hours"/>
    <n v="3"/>
  </r>
  <r>
    <s v="Call_7643"/>
    <s v="C0008"/>
    <n v="64"/>
    <s v="R05"/>
    <d v="2023-04-17T00:00:00"/>
    <n v="88"/>
    <n v="4.3"/>
    <n v="2023"/>
    <s v="Monday"/>
    <s v="1 to 2 hours"/>
    <n v="4"/>
  </r>
  <r>
    <s v="Call_7644"/>
    <s v="C0005"/>
    <n v="105"/>
    <s v="R03"/>
    <d v="2023-04-17T00:00:00"/>
    <n v="35"/>
    <n v="4.4000000000000004"/>
    <n v="2023"/>
    <s v="Monday"/>
    <s v="1 to 2 hours"/>
    <n v="4"/>
  </r>
  <r>
    <s v="Call_7645"/>
    <s v="C0008"/>
    <n v="165"/>
    <s v="R02"/>
    <d v="2023-04-17T00:00:00"/>
    <n v="68"/>
    <n v="4.3"/>
    <n v="2023"/>
    <s v="Monday"/>
    <s v="More than 2 hours"/>
    <n v="4"/>
  </r>
  <r>
    <s v="Call_7646"/>
    <s v="C0015"/>
    <n v="125"/>
    <s v="R02"/>
    <d v="2023-04-17T00:00:00"/>
    <n v="148"/>
    <n v="4.5"/>
    <n v="2023"/>
    <s v="Monday"/>
    <s v="More than 2 hours"/>
    <n v="5"/>
  </r>
  <r>
    <s v="Call_7647"/>
    <s v="C0005"/>
    <n v="88"/>
    <s v="R05"/>
    <d v="2023-04-18T00:00:00"/>
    <n v="81"/>
    <n v="4.2"/>
    <n v="2023"/>
    <s v="Tuesday"/>
    <s v="1 to 2 hours"/>
    <n v="4"/>
  </r>
  <r>
    <s v="Call_7648"/>
    <s v="C0013"/>
    <n v="6"/>
    <s v="R05"/>
    <d v="2023-04-18T00:00:00"/>
    <n v="75"/>
    <n v="3.9"/>
    <n v="2023"/>
    <s v="Tuesday"/>
    <s v="Under 10 mins"/>
    <n v="4"/>
  </r>
  <r>
    <s v="Call_7649"/>
    <s v="C0009"/>
    <n v="69"/>
    <s v="R01"/>
    <d v="2023-04-19T00:00:00"/>
    <n v="32"/>
    <n v="3.6"/>
    <n v="2023"/>
    <s v="Wednesday"/>
    <s v="1 to 2 hours"/>
    <n v="4"/>
  </r>
  <r>
    <s v="Call_7650"/>
    <s v="C0001"/>
    <n v="107"/>
    <s v="R01"/>
    <d v="2023-04-19T00:00:00"/>
    <n v="156"/>
    <n v="3.8"/>
    <n v="2023"/>
    <s v="Wednesday"/>
    <s v="1 to 2 hours"/>
    <n v="4"/>
  </r>
  <r>
    <s v="Call_7651"/>
    <s v="C0004"/>
    <n v="90"/>
    <s v="R02"/>
    <d v="2023-04-19T00:00:00"/>
    <n v="99"/>
    <n v="4.9000000000000004"/>
    <n v="2023"/>
    <s v="Wednesday"/>
    <s v="1 to 2 hours"/>
    <n v="5"/>
  </r>
  <r>
    <s v="Call_7652"/>
    <s v="C0003"/>
    <n v="120"/>
    <s v="R03"/>
    <d v="2023-04-19T00:00:00"/>
    <n v="26"/>
    <n v="4"/>
    <n v="2023"/>
    <s v="Wednesday"/>
    <s v="1 to 2 hours"/>
    <n v="4"/>
  </r>
  <r>
    <s v="Call_7653"/>
    <s v="C0011"/>
    <n v="47"/>
    <s v="R01"/>
    <d v="2023-04-19T00:00:00"/>
    <n v="84"/>
    <n v="4.0999999999999996"/>
    <n v="2023"/>
    <s v="Wednesday"/>
    <s v="30 to 60 mins"/>
    <n v="4"/>
  </r>
  <r>
    <s v="Call_7654"/>
    <s v="C0014"/>
    <n v="60"/>
    <s v="R03"/>
    <d v="2023-04-19T00:00:00"/>
    <n v="84"/>
    <n v="4.8"/>
    <n v="2023"/>
    <s v="Wednesday"/>
    <s v="30 to 60 mins"/>
    <n v="5"/>
  </r>
  <r>
    <s v="Call_7655"/>
    <s v="C0006"/>
    <n v="64"/>
    <s v="R02"/>
    <d v="2023-04-19T00:00:00"/>
    <n v="170"/>
    <n v="2.2999999999999998"/>
    <n v="2023"/>
    <s v="Wednesday"/>
    <s v="1 to 2 hours"/>
    <n v="2"/>
  </r>
  <r>
    <s v="Call_7656"/>
    <s v="C0008"/>
    <n v="62"/>
    <s v="R01"/>
    <d v="2023-04-19T00:00:00"/>
    <n v="35"/>
    <n v="4.4000000000000004"/>
    <n v="2023"/>
    <s v="Wednesday"/>
    <s v="1 to 2 hours"/>
    <n v="4"/>
  </r>
  <r>
    <s v="Call_7657"/>
    <s v="C0010"/>
    <n v="88"/>
    <s v="R01"/>
    <d v="2023-04-20T00:00:00"/>
    <n v="35"/>
    <n v="3.8"/>
    <n v="2023"/>
    <s v="Thursday"/>
    <s v="1 to 2 hours"/>
    <n v="4"/>
  </r>
  <r>
    <s v="Call_7658"/>
    <s v="C0015"/>
    <n v="116"/>
    <s v="R01"/>
    <d v="2023-04-20T00:00:00"/>
    <n v="132"/>
    <n v="5"/>
    <n v="2023"/>
    <s v="Thursday"/>
    <s v="1 to 2 hours"/>
    <n v="5"/>
  </r>
  <r>
    <s v="Call_7659"/>
    <s v="C0004"/>
    <n v="82"/>
    <s v="R05"/>
    <d v="2023-04-21T00:00:00"/>
    <n v="144"/>
    <n v="3.3"/>
    <n v="2023"/>
    <s v="Friday"/>
    <s v="1 to 2 hours"/>
    <n v="3"/>
  </r>
  <r>
    <s v="Call_7660"/>
    <s v="C0008"/>
    <n v="99"/>
    <s v="R02"/>
    <d v="2023-04-21T00:00:00"/>
    <n v="48"/>
    <n v="5"/>
    <n v="2023"/>
    <s v="Friday"/>
    <s v="1 to 2 hours"/>
    <n v="5"/>
  </r>
  <r>
    <s v="Call_7661"/>
    <s v="C0008"/>
    <n v="55"/>
    <s v="R05"/>
    <d v="2023-04-21T00:00:00"/>
    <n v="200"/>
    <n v="2.2999999999999998"/>
    <n v="2023"/>
    <s v="Friday"/>
    <s v="30 to 60 mins"/>
    <n v="2"/>
  </r>
  <r>
    <s v="Call_7662"/>
    <s v="C0006"/>
    <n v="61"/>
    <s v="R03"/>
    <d v="2023-04-21T00:00:00"/>
    <n v="38"/>
    <n v="4.8"/>
    <n v="2023"/>
    <s v="Friday"/>
    <s v="1 to 2 hours"/>
    <n v="5"/>
  </r>
  <r>
    <s v="Call_7663"/>
    <s v="C0015"/>
    <n v="36"/>
    <s v="R04"/>
    <d v="2023-04-21T00:00:00"/>
    <n v="81"/>
    <n v="3.7"/>
    <n v="2023"/>
    <s v="Friday"/>
    <s v="30 to 60 mins"/>
    <n v="4"/>
  </r>
  <r>
    <s v="Call_7664"/>
    <s v="C0004"/>
    <n v="123"/>
    <s v="R01"/>
    <d v="2023-04-21T00:00:00"/>
    <n v="120"/>
    <n v="4.2"/>
    <n v="2023"/>
    <s v="Friday"/>
    <s v="More than 2 hours"/>
    <n v="4"/>
  </r>
  <r>
    <s v="Call_7665"/>
    <s v="C0002"/>
    <n v="24"/>
    <s v="R03"/>
    <d v="2023-04-21T00:00:00"/>
    <n v="74"/>
    <n v="4.8"/>
    <n v="2023"/>
    <s v="Friday"/>
    <s v="10 to 30 mins"/>
    <n v="5"/>
  </r>
  <r>
    <s v="Call_7666"/>
    <s v="C0004"/>
    <n v="43"/>
    <s v="R01"/>
    <d v="2023-04-22T00:00:00"/>
    <n v="128"/>
    <n v="4.7"/>
    <n v="2023"/>
    <s v="Saturday"/>
    <s v="30 to 60 mins"/>
    <n v="5"/>
  </r>
  <r>
    <s v="Call_7667"/>
    <s v="C0014"/>
    <n v="95"/>
    <s v="R02"/>
    <d v="2023-04-22T00:00:00"/>
    <n v="21"/>
    <n v="3.9"/>
    <n v="2023"/>
    <s v="Saturday"/>
    <s v="1 to 2 hours"/>
    <n v="4"/>
  </r>
  <r>
    <s v="Call_7668"/>
    <s v="C0008"/>
    <n v="53"/>
    <s v="R01"/>
    <d v="2023-04-22T00:00:00"/>
    <n v="110"/>
    <n v="4.3"/>
    <n v="2023"/>
    <s v="Saturday"/>
    <s v="30 to 60 mins"/>
    <n v="4"/>
  </r>
  <r>
    <s v="Call_7669"/>
    <s v="C0004"/>
    <n v="113"/>
    <s v="R01"/>
    <d v="2023-04-22T00:00:00"/>
    <n v="145"/>
    <n v="4"/>
    <n v="2023"/>
    <s v="Saturday"/>
    <s v="1 to 2 hours"/>
    <n v="4"/>
  </r>
  <r>
    <s v="Call_7670"/>
    <s v="C0008"/>
    <n v="89"/>
    <s v="R04"/>
    <d v="2023-04-22T00:00:00"/>
    <n v="129"/>
    <n v="4"/>
    <n v="2023"/>
    <s v="Saturday"/>
    <s v="1 to 2 hours"/>
    <n v="4"/>
  </r>
  <r>
    <s v="Call_7671"/>
    <s v="C0010"/>
    <n v="84"/>
    <s v="R05"/>
    <d v="2023-04-22T00:00:00"/>
    <n v="156"/>
    <n v="3.2"/>
    <n v="2023"/>
    <s v="Saturday"/>
    <s v="1 to 2 hours"/>
    <n v="3"/>
  </r>
  <r>
    <s v="Call_7672"/>
    <s v="C0002"/>
    <n v="130"/>
    <s v="R01"/>
    <d v="2023-04-23T00:00:00"/>
    <n v="120"/>
    <n v="3.8"/>
    <n v="2023"/>
    <s v="Sunday"/>
    <s v="More than 2 hours"/>
    <n v="4"/>
  </r>
  <r>
    <s v="Call_7673"/>
    <s v="C0014"/>
    <n v="163"/>
    <s v="R04"/>
    <d v="2023-04-23T00:00:00"/>
    <n v="62"/>
    <n v="3.4"/>
    <n v="2023"/>
    <s v="Sunday"/>
    <s v="More than 2 hours"/>
    <n v="3"/>
  </r>
  <r>
    <s v="Call_7674"/>
    <s v="C0009"/>
    <n v="127"/>
    <s v="R01"/>
    <d v="2023-04-23T00:00:00"/>
    <n v="160"/>
    <n v="3.2"/>
    <n v="2023"/>
    <s v="Sunday"/>
    <s v="More than 2 hours"/>
    <n v="3"/>
  </r>
  <r>
    <s v="Call_7675"/>
    <s v="C0004"/>
    <n v="50"/>
    <s v="R01"/>
    <d v="2023-04-23T00:00:00"/>
    <n v="56"/>
    <n v="4.7"/>
    <n v="2023"/>
    <s v="Sunday"/>
    <s v="30 to 60 mins"/>
    <n v="5"/>
  </r>
  <r>
    <s v="Call_7676"/>
    <s v="C0007"/>
    <n v="88"/>
    <s v="R03"/>
    <d v="2023-04-23T00:00:00"/>
    <n v="72"/>
    <n v="4"/>
    <n v="2023"/>
    <s v="Sunday"/>
    <s v="1 to 2 hours"/>
    <n v="4"/>
  </r>
  <r>
    <s v="Call_7677"/>
    <s v="C0004"/>
    <n v="139"/>
    <s v="R02"/>
    <d v="2023-04-24T00:00:00"/>
    <n v="81"/>
    <n v="4.8"/>
    <n v="2023"/>
    <s v="Monday"/>
    <s v="More than 2 hours"/>
    <n v="5"/>
  </r>
  <r>
    <s v="Call_7678"/>
    <s v="C0014"/>
    <n v="111"/>
    <s v="R01"/>
    <d v="2023-04-24T00:00:00"/>
    <n v="144"/>
    <n v="3.9"/>
    <n v="2023"/>
    <s v="Monday"/>
    <s v="1 to 2 hours"/>
    <n v="4"/>
  </r>
  <r>
    <s v="Call_7679"/>
    <s v="C0005"/>
    <n v="115"/>
    <s v="R02"/>
    <d v="2023-04-24T00:00:00"/>
    <n v="111"/>
    <n v="4.3"/>
    <n v="2023"/>
    <s v="Monday"/>
    <s v="1 to 2 hours"/>
    <n v="4"/>
  </r>
  <r>
    <s v="Call_7680"/>
    <s v="C0008"/>
    <n v="26"/>
    <s v="R04"/>
    <d v="2023-04-24T00:00:00"/>
    <n v="43"/>
    <n v="4.2"/>
    <n v="2023"/>
    <s v="Monday"/>
    <s v="10 to 30 mins"/>
    <n v="4"/>
  </r>
  <r>
    <s v="Call_7681"/>
    <s v="C0010"/>
    <n v="131"/>
    <s v="R03"/>
    <d v="2023-04-24T00:00:00"/>
    <n v="41"/>
    <n v="4.9000000000000004"/>
    <n v="2023"/>
    <s v="Monday"/>
    <s v="More than 2 hours"/>
    <n v="5"/>
  </r>
  <r>
    <s v="Call_7682"/>
    <s v="C0005"/>
    <n v="27"/>
    <s v="R03"/>
    <d v="2023-04-24T00:00:00"/>
    <n v="74"/>
    <n v="4"/>
    <n v="2023"/>
    <s v="Monday"/>
    <s v="10 to 30 mins"/>
    <n v="4"/>
  </r>
  <r>
    <s v="Call_7683"/>
    <s v="C0012"/>
    <n v="75"/>
    <s v="R01"/>
    <d v="2023-04-24T00:00:00"/>
    <n v="43"/>
    <n v="4.9000000000000004"/>
    <n v="2023"/>
    <s v="Monday"/>
    <s v="1 to 2 hours"/>
    <n v="5"/>
  </r>
  <r>
    <s v="Call_7684"/>
    <s v="C0006"/>
    <n v="123"/>
    <s v="R03"/>
    <d v="2023-04-24T00:00:00"/>
    <n v="128"/>
    <n v="3.6"/>
    <n v="2023"/>
    <s v="Monday"/>
    <s v="More than 2 hours"/>
    <n v="4"/>
  </r>
  <r>
    <s v="Call_7685"/>
    <s v="C0003"/>
    <n v="129"/>
    <s v="R03"/>
    <d v="2023-04-25T00:00:00"/>
    <n v="144"/>
    <n v="4.0999999999999996"/>
    <n v="2023"/>
    <s v="Tuesday"/>
    <s v="More than 2 hours"/>
    <n v="4"/>
  </r>
  <r>
    <s v="Call_7686"/>
    <s v="C0012"/>
    <n v="124"/>
    <s v="R02"/>
    <d v="2023-04-25T00:00:00"/>
    <n v="132"/>
    <n v="4.9000000000000004"/>
    <n v="2023"/>
    <s v="Tuesday"/>
    <s v="More than 2 hours"/>
    <n v="5"/>
  </r>
  <r>
    <s v="Call_7687"/>
    <s v="C0005"/>
    <n v="108"/>
    <s v="R02"/>
    <d v="2023-04-25T00:00:00"/>
    <n v="180"/>
    <n v="3.9"/>
    <n v="2023"/>
    <s v="Tuesday"/>
    <s v="1 to 2 hours"/>
    <n v="4"/>
  </r>
  <r>
    <s v="Call_7688"/>
    <s v="C0011"/>
    <n v="15"/>
    <s v="R02"/>
    <d v="2023-04-25T00:00:00"/>
    <n v="31"/>
    <n v="4.0999999999999996"/>
    <n v="2023"/>
    <s v="Tuesday"/>
    <s v="10 to 30 mins"/>
    <n v="4"/>
  </r>
  <r>
    <s v="Call_7689"/>
    <s v="C0005"/>
    <n v="66"/>
    <s v="R02"/>
    <d v="2023-04-25T00:00:00"/>
    <n v="102"/>
    <n v="3.8"/>
    <n v="2023"/>
    <s v="Tuesday"/>
    <s v="1 to 2 hours"/>
    <n v="4"/>
  </r>
  <r>
    <s v="Call_7690"/>
    <s v="C0007"/>
    <n v="126"/>
    <s v="R01"/>
    <d v="2023-04-26T00:00:00"/>
    <n v="175"/>
    <n v="4.8"/>
    <n v="2023"/>
    <s v="Wednesday"/>
    <s v="More than 2 hours"/>
    <n v="5"/>
  </r>
  <r>
    <s v="Call_7691"/>
    <s v="C0012"/>
    <n v="26"/>
    <s v="R05"/>
    <d v="2023-04-26T00:00:00"/>
    <n v="87"/>
    <n v="4.7"/>
    <n v="2023"/>
    <s v="Wednesday"/>
    <s v="10 to 30 mins"/>
    <n v="5"/>
  </r>
  <r>
    <s v="Call_7692"/>
    <s v="C0002"/>
    <n v="105"/>
    <s v="R01"/>
    <d v="2023-04-26T00:00:00"/>
    <n v="66"/>
    <n v="4.2"/>
    <n v="2023"/>
    <s v="Wednesday"/>
    <s v="1 to 2 hours"/>
    <n v="4"/>
  </r>
  <r>
    <s v="Call_7693"/>
    <s v="C0002"/>
    <n v="31"/>
    <s v="R01"/>
    <d v="2023-04-26T00:00:00"/>
    <n v="25"/>
    <n v="3.2"/>
    <n v="2023"/>
    <s v="Wednesday"/>
    <s v="30 to 60 mins"/>
    <n v="3"/>
  </r>
  <r>
    <s v="Call_7694"/>
    <s v="C0005"/>
    <n v="109"/>
    <s v="R02"/>
    <d v="2023-04-26T00:00:00"/>
    <n v="126"/>
    <n v="3.4"/>
    <n v="2023"/>
    <s v="Wednesday"/>
    <s v="1 to 2 hours"/>
    <n v="3"/>
  </r>
  <r>
    <s v="Call_7695"/>
    <s v="C0003"/>
    <n v="113"/>
    <s v="R04"/>
    <d v="2023-04-27T00:00:00"/>
    <n v="42"/>
    <n v="4.5999999999999996"/>
    <n v="2023"/>
    <s v="Thursday"/>
    <s v="1 to 2 hours"/>
    <n v="5"/>
  </r>
  <r>
    <s v="Call_7696"/>
    <s v="C0007"/>
    <n v="101"/>
    <s v="R05"/>
    <d v="2023-04-27T00:00:00"/>
    <n v="225"/>
    <n v="1.9"/>
    <n v="2023"/>
    <s v="Thursday"/>
    <s v="1 to 2 hours"/>
    <n v="2"/>
  </r>
  <r>
    <s v="Call_7697"/>
    <s v="C0014"/>
    <n v="156"/>
    <s v="R05"/>
    <d v="2023-04-27T00:00:00"/>
    <n v="42"/>
    <n v="3.3"/>
    <n v="2023"/>
    <s v="Thursday"/>
    <s v="More than 2 hours"/>
    <n v="3"/>
  </r>
  <r>
    <s v="Call_7698"/>
    <s v="C0005"/>
    <n v="145"/>
    <s v="R04"/>
    <d v="2023-04-28T00:00:00"/>
    <n v="110"/>
    <n v="3.1"/>
    <n v="2023"/>
    <s v="Friday"/>
    <s v="More than 2 hours"/>
    <n v="3"/>
  </r>
  <r>
    <s v="Call_7699"/>
    <s v="C0006"/>
    <n v="36"/>
    <s v="R02"/>
    <d v="2023-04-28T00:00:00"/>
    <n v="225"/>
    <n v="4.8"/>
    <n v="2023"/>
    <s v="Friday"/>
    <s v="30 to 60 mins"/>
    <n v="5"/>
  </r>
  <r>
    <s v="Call_7700"/>
    <s v="C0002"/>
    <n v="135"/>
    <s v="R03"/>
    <d v="2023-04-29T00:00:00"/>
    <n v="125"/>
    <n v="3.3"/>
    <n v="2023"/>
    <s v="Saturday"/>
    <s v="More than 2 hours"/>
    <n v="3"/>
  </r>
  <r>
    <s v="Call_7701"/>
    <s v="C0007"/>
    <n v="81"/>
    <s v="R02"/>
    <d v="2023-04-29T00:00:00"/>
    <n v="78"/>
    <n v="2.9"/>
    <n v="2023"/>
    <s v="Saturday"/>
    <s v="1 to 2 hours"/>
    <n v="3"/>
  </r>
  <r>
    <s v="Call_7702"/>
    <s v="C0007"/>
    <n v="81"/>
    <s v="R04"/>
    <d v="2023-04-29T00:00:00"/>
    <n v="40"/>
    <n v="2.4"/>
    <n v="2023"/>
    <s v="Saturday"/>
    <s v="1 to 2 hours"/>
    <n v="2"/>
  </r>
  <r>
    <s v="Call_7703"/>
    <s v="C0009"/>
    <n v="93"/>
    <s v="R01"/>
    <d v="2023-04-29T00:00:00"/>
    <n v="150"/>
    <n v="4.5999999999999996"/>
    <n v="2023"/>
    <s v="Saturday"/>
    <s v="1 to 2 hours"/>
    <n v="5"/>
  </r>
  <r>
    <s v="Call_7704"/>
    <s v="C0005"/>
    <n v="14"/>
    <s v="R02"/>
    <d v="2023-04-29T00:00:00"/>
    <n v="96"/>
    <n v="4.8"/>
    <n v="2023"/>
    <s v="Saturday"/>
    <s v="10 to 30 mins"/>
    <n v="5"/>
  </r>
  <r>
    <s v="Call_7705"/>
    <s v="C0002"/>
    <n v="95"/>
    <s v="R04"/>
    <d v="2023-04-30T00:00:00"/>
    <n v="75"/>
    <n v="4.8"/>
    <n v="2023"/>
    <s v="Sunday"/>
    <s v="1 to 2 hours"/>
    <n v="5"/>
  </r>
  <r>
    <s v="Call_7706"/>
    <s v="C0009"/>
    <n v="81"/>
    <s v="R04"/>
    <d v="2023-04-30T00:00:00"/>
    <n v="60"/>
    <n v="3.6"/>
    <n v="2023"/>
    <s v="Sunday"/>
    <s v="1 to 2 hours"/>
    <n v="4"/>
  </r>
  <r>
    <s v="Call_7707"/>
    <s v="C0008"/>
    <n v="60"/>
    <s v="R02"/>
    <d v="2023-05-01T00:00:00"/>
    <n v="41"/>
    <n v="4.8"/>
    <n v="2023"/>
    <s v="Monday"/>
    <s v="30 to 60 mins"/>
    <n v="5"/>
  </r>
  <r>
    <s v="Call_7708"/>
    <s v="C0013"/>
    <n v="137"/>
    <s v="R01"/>
    <d v="2023-05-01T00:00:00"/>
    <n v="20"/>
    <n v="4.2"/>
    <n v="2023"/>
    <s v="Monday"/>
    <s v="More than 2 hours"/>
    <n v="4"/>
  </r>
  <r>
    <s v="Call_7709"/>
    <s v="C0004"/>
    <n v="112"/>
    <s v="R03"/>
    <d v="2023-05-01T00:00:00"/>
    <n v="84"/>
    <n v="2.6"/>
    <n v="2023"/>
    <s v="Monday"/>
    <s v="1 to 2 hours"/>
    <n v="3"/>
  </r>
  <r>
    <s v="Call_7710"/>
    <s v="C0002"/>
    <n v="76"/>
    <s v="R05"/>
    <d v="2023-05-01T00:00:00"/>
    <n v="140"/>
    <n v="3.7"/>
    <n v="2023"/>
    <s v="Monday"/>
    <s v="1 to 2 hours"/>
    <n v="4"/>
  </r>
  <r>
    <s v="Call_7711"/>
    <s v="C0015"/>
    <n v="73"/>
    <s v="R02"/>
    <d v="2023-05-01T00:00:00"/>
    <n v="66"/>
    <n v="4.8"/>
    <n v="2023"/>
    <s v="Monday"/>
    <s v="1 to 2 hours"/>
    <n v="5"/>
  </r>
  <r>
    <s v="Call_7712"/>
    <s v="C0010"/>
    <n v="119"/>
    <s v="R01"/>
    <d v="2023-05-01T00:00:00"/>
    <n v="105"/>
    <n v="4.7"/>
    <n v="2023"/>
    <s v="Monday"/>
    <s v="1 to 2 hours"/>
    <n v="5"/>
  </r>
  <r>
    <s v="Call_7713"/>
    <s v="C0003"/>
    <n v="135"/>
    <s v="R04"/>
    <d v="2023-05-02T00:00:00"/>
    <n v="104"/>
    <n v="4.0999999999999996"/>
    <n v="2023"/>
    <s v="Tuesday"/>
    <s v="More than 2 hours"/>
    <n v="4"/>
  </r>
  <r>
    <s v="Call_7714"/>
    <s v="C0013"/>
    <n v="41"/>
    <s v="R03"/>
    <d v="2023-05-02T00:00:00"/>
    <n v="123"/>
    <n v="3.2"/>
    <n v="2023"/>
    <s v="Tuesday"/>
    <s v="30 to 60 mins"/>
    <n v="3"/>
  </r>
  <r>
    <s v="Call_7715"/>
    <s v="C0005"/>
    <n v="35"/>
    <s v="R04"/>
    <d v="2023-05-03T00:00:00"/>
    <n v="215"/>
    <n v="4.3"/>
    <n v="2023"/>
    <s v="Wednesday"/>
    <s v="30 to 60 mins"/>
    <n v="4"/>
  </r>
  <r>
    <s v="Call_7716"/>
    <s v="C0003"/>
    <n v="96"/>
    <s v="R02"/>
    <d v="2023-05-03T00:00:00"/>
    <n v="46"/>
    <n v="0.7"/>
    <n v="2023"/>
    <s v="Wednesday"/>
    <s v="1 to 2 hours"/>
    <n v="1"/>
  </r>
  <r>
    <s v="Call_7717"/>
    <s v="C0009"/>
    <n v="61"/>
    <s v="R03"/>
    <d v="2023-05-03T00:00:00"/>
    <n v="115"/>
    <n v="3.7"/>
    <n v="2023"/>
    <s v="Wednesday"/>
    <s v="1 to 2 hours"/>
    <n v="4"/>
  </r>
  <r>
    <s v="Call_7718"/>
    <s v="C0003"/>
    <n v="91"/>
    <s v="R03"/>
    <d v="2023-05-03T00:00:00"/>
    <n v="124"/>
    <n v="3.9"/>
    <n v="2023"/>
    <s v="Wednesday"/>
    <s v="1 to 2 hours"/>
    <n v="4"/>
  </r>
  <r>
    <s v="Call_7719"/>
    <s v="C0001"/>
    <n v="30"/>
    <s v="R03"/>
    <d v="2023-05-04T00:00:00"/>
    <n v="205"/>
    <n v="4.5"/>
    <n v="2023"/>
    <s v="Thursday"/>
    <s v="10 to 30 mins"/>
    <n v="5"/>
  </r>
  <r>
    <s v="Call_7720"/>
    <s v="C0008"/>
    <n v="111"/>
    <s v="R01"/>
    <d v="2023-05-04T00:00:00"/>
    <n v="90"/>
    <n v="2.8"/>
    <n v="2023"/>
    <s v="Thursday"/>
    <s v="1 to 2 hours"/>
    <n v="3"/>
  </r>
  <r>
    <s v="Call_7721"/>
    <s v="C0009"/>
    <n v="81"/>
    <s v="R02"/>
    <d v="2023-05-04T00:00:00"/>
    <n v="92"/>
    <n v="4.9000000000000004"/>
    <n v="2023"/>
    <s v="Thursday"/>
    <s v="1 to 2 hours"/>
    <n v="5"/>
  </r>
  <r>
    <s v="Call_7722"/>
    <s v="C0002"/>
    <n v="40"/>
    <s v="R04"/>
    <d v="2023-05-06T00:00:00"/>
    <n v="108"/>
    <n v="4.2"/>
    <n v="2023"/>
    <s v="Saturday"/>
    <s v="30 to 60 mins"/>
    <n v="4"/>
  </r>
  <r>
    <s v="Call_7723"/>
    <s v="C0008"/>
    <n v="143"/>
    <s v="R04"/>
    <d v="2023-05-06T00:00:00"/>
    <n v="54"/>
    <n v="4.4000000000000004"/>
    <n v="2023"/>
    <s v="Saturday"/>
    <s v="More than 2 hours"/>
    <n v="4"/>
  </r>
  <r>
    <s v="Call_7724"/>
    <s v="C0002"/>
    <n v="70"/>
    <s v="R04"/>
    <d v="2023-05-07T00:00:00"/>
    <n v="44"/>
    <n v="3.5"/>
    <n v="2023"/>
    <s v="Sunday"/>
    <s v="1 to 2 hours"/>
    <n v="4"/>
  </r>
  <r>
    <s v="Call_7725"/>
    <s v="C0015"/>
    <n v="137"/>
    <s v="R04"/>
    <d v="2023-05-07T00:00:00"/>
    <n v="44"/>
    <n v="4.7"/>
    <n v="2023"/>
    <s v="Sunday"/>
    <s v="More than 2 hours"/>
    <n v="5"/>
  </r>
  <r>
    <s v="Call_7726"/>
    <s v="C0003"/>
    <n v="52"/>
    <s v="R02"/>
    <d v="2023-05-08T00:00:00"/>
    <n v="37"/>
    <n v="4.9000000000000004"/>
    <n v="2023"/>
    <s v="Monday"/>
    <s v="30 to 60 mins"/>
    <n v="5"/>
  </r>
  <r>
    <s v="Call_7727"/>
    <s v="C0004"/>
    <n v="31"/>
    <s v="R01"/>
    <d v="2023-05-08T00:00:00"/>
    <n v="180"/>
    <n v="4.5"/>
    <n v="2023"/>
    <s v="Monday"/>
    <s v="30 to 60 mins"/>
    <n v="5"/>
  </r>
  <r>
    <s v="Call_7728"/>
    <s v="C0003"/>
    <n v="114"/>
    <s v="R03"/>
    <d v="2023-05-08T00:00:00"/>
    <n v="105"/>
    <n v="4.9000000000000004"/>
    <n v="2023"/>
    <s v="Monday"/>
    <s v="1 to 2 hours"/>
    <n v="5"/>
  </r>
  <r>
    <s v="Call_7729"/>
    <s v="C0015"/>
    <n v="73"/>
    <s v="R05"/>
    <d v="2023-05-08T00:00:00"/>
    <n v="87"/>
    <n v="3.6"/>
    <n v="2023"/>
    <s v="Monday"/>
    <s v="1 to 2 hours"/>
    <n v="4"/>
  </r>
  <r>
    <s v="Call_7730"/>
    <s v="C0009"/>
    <n v="25"/>
    <s v="R01"/>
    <d v="2023-05-08T00:00:00"/>
    <n v="52"/>
    <n v="3.8"/>
    <n v="2023"/>
    <s v="Monday"/>
    <s v="10 to 30 mins"/>
    <n v="4"/>
  </r>
  <r>
    <s v="Call_7731"/>
    <s v="C0011"/>
    <n v="44"/>
    <s v="R03"/>
    <d v="2023-05-08T00:00:00"/>
    <n v="63"/>
    <n v="3.5"/>
    <n v="2023"/>
    <s v="Monday"/>
    <s v="30 to 60 mins"/>
    <n v="4"/>
  </r>
  <r>
    <s v="Call_7732"/>
    <s v="C0006"/>
    <n v="34"/>
    <s v="R02"/>
    <d v="2023-05-09T00:00:00"/>
    <n v="195"/>
    <n v="4.8"/>
    <n v="2023"/>
    <s v="Tuesday"/>
    <s v="30 to 60 mins"/>
    <n v="5"/>
  </r>
  <r>
    <s v="Call_7733"/>
    <s v="C0008"/>
    <n v="89"/>
    <s v="R04"/>
    <d v="2023-05-10T00:00:00"/>
    <n v="176"/>
    <n v="4.5"/>
    <n v="2023"/>
    <s v="Wednesday"/>
    <s v="1 to 2 hours"/>
    <n v="5"/>
  </r>
  <r>
    <s v="Call_7734"/>
    <s v="C0010"/>
    <n v="54"/>
    <s v="R01"/>
    <d v="2023-05-11T00:00:00"/>
    <n v="31"/>
    <n v="3.3"/>
    <n v="2023"/>
    <s v="Thursday"/>
    <s v="30 to 60 mins"/>
    <n v="3"/>
  </r>
  <r>
    <s v="Call_7735"/>
    <s v="C0005"/>
    <n v="25"/>
    <s v="R01"/>
    <d v="2023-05-12T00:00:00"/>
    <n v="27"/>
    <n v="3.2"/>
    <n v="2023"/>
    <s v="Friday"/>
    <s v="10 to 30 mins"/>
    <n v="3"/>
  </r>
  <r>
    <s v="Call_7736"/>
    <s v="C0013"/>
    <n v="91"/>
    <s v="R04"/>
    <d v="2023-05-12T00:00:00"/>
    <n v="76"/>
    <n v="4.9000000000000004"/>
    <n v="2023"/>
    <s v="Friday"/>
    <s v="1 to 2 hours"/>
    <n v="5"/>
  </r>
  <r>
    <s v="Call_7737"/>
    <s v="C0011"/>
    <n v="144"/>
    <s v="R03"/>
    <d v="2023-05-12T00:00:00"/>
    <n v="62"/>
    <n v="4.8"/>
    <n v="2023"/>
    <s v="Friday"/>
    <s v="More than 2 hours"/>
    <n v="5"/>
  </r>
  <r>
    <s v="Call_7738"/>
    <s v="C0013"/>
    <n v="81"/>
    <s v="R02"/>
    <d v="2023-05-14T00:00:00"/>
    <n v="100"/>
    <n v="1.3"/>
    <n v="2023"/>
    <s v="Sunday"/>
    <s v="1 to 2 hours"/>
    <n v="1"/>
  </r>
  <r>
    <s v="Call_7739"/>
    <s v="C0001"/>
    <n v="92"/>
    <s v="R01"/>
    <d v="2023-05-14T00:00:00"/>
    <n v="44"/>
    <n v="3.1"/>
    <n v="2023"/>
    <s v="Sunday"/>
    <s v="1 to 2 hours"/>
    <n v="3"/>
  </r>
  <r>
    <s v="Call_7740"/>
    <s v="C0005"/>
    <n v="115"/>
    <s v="R04"/>
    <d v="2023-05-14T00:00:00"/>
    <n v="168"/>
    <n v="3.4"/>
    <n v="2023"/>
    <s v="Sunday"/>
    <s v="1 to 2 hours"/>
    <n v="3"/>
  </r>
  <r>
    <s v="Call_7741"/>
    <s v="C0007"/>
    <n v="56"/>
    <s v="R04"/>
    <d v="2023-05-15T00:00:00"/>
    <n v="200"/>
    <n v="4.5999999999999996"/>
    <n v="2023"/>
    <s v="Monday"/>
    <s v="30 to 60 mins"/>
    <n v="5"/>
  </r>
  <r>
    <s v="Call_7742"/>
    <s v="C0004"/>
    <n v="154"/>
    <s v="R01"/>
    <d v="2023-05-15T00:00:00"/>
    <n v="84"/>
    <n v="4.3"/>
    <n v="2023"/>
    <s v="Monday"/>
    <s v="More than 2 hours"/>
    <n v="4"/>
  </r>
  <r>
    <s v="Call_7743"/>
    <s v="C0008"/>
    <n v="51"/>
    <s v="R04"/>
    <d v="2023-05-16T00:00:00"/>
    <n v="117"/>
    <n v="2.7"/>
    <n v="2023"/>
    <s v="Tuesday"/>
    <s v="30 to 60 mins"/>
    <n v="3"/>
  </r>
  <r>
    <s v="Call_7744"/>
    <s v="C0006"/>
    <n v="21"/>
    <s v="R02"/>
    <d v="2023-05-16T00:00:00"/>
    <n v="63"/>
    <n v="4.2"/>
    <n v="2023"/>
    <s v="Tuesday"/>
    <s v="10 to 30 mins"/>
    <n v="4"/>
  </r>
  <r>
    <s v="Call_7745"/>
    <s v="C0005"/>
    <n v="80"/>
    <s v="R04"/>
    <d v="2023-05-17T00:00:00"/>
    <n v="145"/>
    <n v="4.9000000000000004"/>
    <n v="2023"/>
    <s v="Wednesday"/>
    <s v="1 to 2 hours"/>
    <n v="5"/>
  </r>
  <r>
    <s v="Call_7746"/>
    <s v="C0008"/>
    <n v="139"/>
    <s v="R01"/>
    <d v="2023-05-17T00:00:00"/>
    <n v="220"/>
    <n v="3.2"/>
    <n v="2023"/>
    <s v="Wednesday"/>
    <s v="More than 2 hours"/>
    <n v="3"/>
  </r>
  <r>
    <s v="Call_7747"/>
    <s v="C0002"/>
    <n v="50"/>
    <s v="R02"/>
    <d v="2023-05-17T00:00:00"/>
    <n v="26"/>
    <n v="4.7"/>
    <n v="2023"/>
    <s v="Wednesday"/>
    <s v="30 to 60 mins"/>
    <n v="5"/>
  </r>
  <r>
    <s v="Call_7748"/>
    <s v="C0005"/>
    <n v="88"/>
    <s v="R04"/>
    <d v="2023-05-17T00:00:00"/>
    <n v="78"/>
    <n v="4.3"/>
    <n v="2023"/>
    <s v="Wednesday"/>
    <s v="1 to 2 hours"/>
    <n v="4"/>
  </r>
  <r>
    <s v="Call_7749"/>
    <s v="C0010"/>
    <n v="19"/>
    <s v="R03"/>
    <d v="2023-05-18T00:00:00"/>
    <n v="132"/>
    <n v="4.3"/>
    <n v="2023"/>
    <s v="Thursday"/>
    <s v="10 to 30 mins"/>
    <n v="4"/>
  </r>
  <r>
    <s v="Call_7750"/>
    <s v="C0009"/>
    <n v="104"/>
    <s v="R03"/>
    <d v="2023-05-19T00:00:00"/>
    <n v="68"/>
    <n v="3.7"/>
    <n v="2023"/>
    <s v="Friday"/>
    <s v="1 to 2 hours"/>
    <n v="4"/>
  </r>
  <r>
    <s v="Call_7751"/>
    <s v="C0004"/>
    <n v="67"/>
    <s v="R01"/>
    <d v="2023-05-21T00:00:00"/>
    <n v="129"/>
    <n v="4.7"/>
    <n v="2023"/>
    <s v="Sunday"/>
    <s v="1 to 2 hours"/>
    <n v="5"/>
  </r>
  <r>
    <s v="Call_7752"/>
    <s v="C0012"/>
    <n v="107"/>
    <s v="R03"/>
    <d v="2023-05-21T00:00:00"/>
    <n v="115"/>
    <n v="4.9000000000000004"/>
    <n v="2023"/>
    <s v="Sunday"/>
    <s v="1 to 2 hours"/>
    <n v="5"/>
  </r>
  <r>
    <s v="Call_7753"/>
    <s v="C0012"/>
    <n v="93"/>
    <s v="R03"/>
    <d v="2023-05-21T00:00:00"/>
    <n v="128"/>
    <n v="3.9"/>
    <n v="2023"/>
    <s v="Sunday"/>
    <s v="1 to 2 hours"/>
    <n v="4"/>
  </r>
  <r>
    <s v="Call_7754"/>
    <s v="C0012"/>
    <n v="117"/>
    <s v="R01"/>
    <d v="2023-05-21T00:00:00"/>
    <n v="90"/>
    <n v="4.5"/>
    <n v="2023"/>
    <s v="Sunday"/>
    <s v="1 to 2 hours"/>
    <n v="5"/>
  </r>
  <r>
    <s v="Call_7755"/>
    <s v="C0002"/>
    <n v="76"/>
    <s v="R04"/>
    <d v="2023-05-22T00:00:00"/>
    <n v="39"/>
    <n v="4.5999999999999996"/>
    <n v="2023"/>
    <s v="Monday"/>
    <s v="1 to 2 hours"/>
    <n v="5"/>
  </r>
  <r>
    <s v="Call_7756"/>
    <s v="C0010"/>
    <n v="64"/>
    <s v="R03"/>
    <d v="2023-05-22T00:00:00"/>
    <n v="132"/>
    <n v="3.3"/>
    <n v="2023"/>
    <s v="Monday"/>
    <s v="1 to 2 hours"/>
    <n v="3"/>
  </r>
  <r>
    <s v="Call_7757"/>
    <s v="C0011"/>
    <n v="33"/>
    <s v="R03"/>
    <d v="2023-05-22T00:00:00"/>
    <n v="170"/>
    <n v="3.8"/>
    <n v="2023"/>
    <s v="Monday"/>
    <s v="30 to 60 mins"/>
    <n v="4"/>
  </r>
  <r>
    <s v="Call_7758"/>
    <s v="C0012"/>
    <n v="115"/>
    <s v="R01"/>
    <d v="2023-05-22T00:00:00"/>
    <n v="42"/>
    <n v="4.7"/>
    <n v="2023"/>
    <s v="Monday"/>
    <s v="1 to 2 hours"/>
    <n v="5"/>
  </r>
  <r>
    <s v="Call_7759"/>
    <s v="C0014"/>
    <n v="155"/>
    <s v="R04"/>
    <d v="2023-05-23T00:00:00"/>
    <n v="37"/>
    <n v="4"/>
    <n v="2023"/>
    <s v="Tuesday"/>
    <s v="More than 2 hours"/>
    <n v="4"/>
  </r>
  <r>
    <s v="Call_7760"/>
    <s v="C0004"/>
    <n v="117"/>
    <s v="R04"/>
    <d v="2023-05-23T00:00:00"/>
    <n v="88"/>
    <n v="4.7"/>
    <n v="2023"/>
    <s v="Tuesday"/>
    <s v="1 to 2 hours"/>
    <n v="5"/>
  </r>
  <r>
    <s v="Call_7761"/>
    <s v="C0008"/>
    <n v="63"/>
    <s v="R04"/>
    <d v="2023-05-23T00:00:00"/>
    <n v="80"/>
    <n v="2.5"/>
    <n v="2023"/>
    <s v="Tuesday"/>
    <s v="1 to 2 hours"/>
    <n v="3"/>
  </r>
  <r>
    <s v="Call_7762"/>
    <s v="C0010"/>
    <n v="59"/>
    <s v="R05"/>
    <d v="2023-05-24T00:00:00"/>
    <n v="123"/>
    <n v="3.6"/>
    <n v="2023"/>
    <s v="Wednesday"/>
    <s v="30 to 60 mins"/>
    <n v="4"/>
  </r>
  <r>
    <s v="Call_7763"/>
    <s v="C0006"/>
    <n v="133"/>
    <s v="R03"/>
    <d v="2023-05-24T00:00:00"/>
    <n v="31"/>
    <n v="3.7"/>
    <n v="2023"/>
    <s v="Wednesday"/>
    <s v="More than 2 hours"/>
    <n v="4"/>
  </r>
  <r>
    <s v="Call_7764"/>
    <s v="C0001"/>
    <n v="101"/>
    <s v="R02"/>
    <d v="2023-05-24T00:00:00"/>
    <n v="205"/>
    <n v="3.9"/>
    <n v="2023"/>
    <s v="Wednesday"/>
    <s v="1 to 2 hours"/>
    <n v="4"/>
  </r>
  <r>
    <s v="Call_7765"/>
    <s v="C0013"/>
    <n v="151"/>
    <s v="R04"/>
    <d v="2023-05-25T00:00:00"/>
    <n v="123"/>
    <n v="3.7"/>
    <n v="2023"/>
    <s v="Thursday"/>
    <s v="More than 2 hours"/>
    <n v="4"/>
  </r>
  <r>
    <s v="Call_7766"/>
    <s v="C0011"/>
    <n v="146"/>
    <s v="R03"/>
    <d v="2023-05-25T00:00:00"/>
    <n v="123"/>
    <n v="4.3"/>
    <n v="2023"/>
    <s v="Thursday"/>
    <s v="More than 2 hours"/>
    <n v="4"/>
  </r>
  <r>
    <s v="Call_7767"/>
    <s v="C0008"/>
    <n v="148"/>
    <s v="R03"/>
    <d v="2023-05-25T00:00:00"/>
    <n v="36"/>
    <n v="2.9"/>
    <n v="2023"/>
    <s v="Thursday"/>
    <s v="More than 2 hours"/>
    <n v="3"/>
  </r>
  <r>
    <s v="Call_7768"/>
    <s v="C0013"/>
    <n v="81"/>
    <s v="R03"/>
    <d v="2023-05-25T00:00:00"/>
    <n v="116"/>
    <n v="4.3"/>
    <n v="2023"/>
    <s v="Thursday"/>
    <s v="1 to 2 hours"/>
    <n v="4"/>
  </r>
  <r>
    <s v="Call_7769"/>
    <s v="C0009"/>
    <n v="115"/>
    <s v="R03"/>
    <d v="2023-05-25T00:00:00"/>
    <n v="40"/>
    <n v="4.9000000000000004"/>
    <n v="2023"/>
    <s v="Thursday"/>
    <s v="1 to 2 hours"/>
    <n v="5"/>
  </r>
  <r>
    <s v="Call_7770"/>
    <s v="C0009"/>
    <n v="117"/>
    <s v="R04"/>
    <d v="2023-05-25T00:00:00"/>
    <n v="40"/>
    <n v="4"/>
    <n v="2023"/>
    <s v="Thursday"/>
    <s v="1 to 2 hours"/>
    <n v="4"/>
  </r>
  <r>
    <s v="Call_7771"/>
    <s v="C0001"/>
    <n v="110"/>
    <s v="R01"/>
    <d v="2023-05-26T00:00:00"/>
    <n v="82"/>
    <n v="4"/>
    <n v="2023"/>
    <s v="Friday"/>
    <s v="1 to 2 hours"/>
    <n v="4"/>
  </r>
  <r>
    <s v="Call_7772"/>
    <s v="C0002"/>
    <n v="103"/>
    <s v="R05"/>
    <d v="2023-05-26T00:00:00"/>
    <n v="62"/>
    <n v="3.4"/>
    <n v="2023"/>
    <s v="Friday"/>
    <s v="1 to 2 hours"/>
    <n v="3"/>
  </r>
  <r>
    <s v="Call_7773"/>
    <s v="C0014"/>
    <n v="45"/>
    <s v="R05"/>
    <d v="2023-05-26T00:00:00"/>
    <n v="135"/>
    <n v="3.9"/>
    <n v="2023"/>
    <s v="Friday"/>
    <s v="30 to 60 mins"/>
    <n v="4"/>
  </r>
  <r>
    <s v="Call_7774"/>
    <s v="C0001"/>
    <n v="110"/>
    <s v="R02"/>
    <d v="2023-05-26T00:00:00"/>
    <n v="155"/>
    <n v="2.1"/>
    <n v="2023"/>
    <s v="Friday"/>
    <s v="1 to 2 hours"/>
    <n v="2"/>
  </r>
  <r>
    <s v="Call_7775"/>
    <s v="C0010"/>
    <n v="43"/>
    <s v="R01"/>
    <d v="2023-05-26T00:00:00"/>
    <n v="37"/>
    <n v="4.9000000000000004"/>
    <n v="2023"/>
    <s v="Friday"/>
    <s v="30 to 60 mins"/>
    <n v="5"/>
  </r>
  <r>
    <s v="Call_7776"/>
    <s v="C0001"/>
    <n v="104"/>
    <s v="R04"/>
    <d v="2023-05-27T00:00:00"/>
    <n v="56"/>
    <n v="3.4"/>
    <n v="2023"/>
    <s v="Saturday"/>
    <s v="1 to 2 hours"/>
    <n v="3"/>
  </r>
  <r>
    <s v="Call_7777"/>
    <s v="C0001"/>
    <n v="101"/>
    <s v="R04"/>
    <d v="2023-05-27T00:00:00"/>
    <n v="185"/>
    <n v="5"/>
    <n v="2023"/>
    <s v="Saturday"/>
    <s v="1 to 2 hours"/>
    <n v="5"/>
  </r>
  <r>
    <s v="Call_7778"/>
    <s v="C0003"/>
    <n v="55"/>
    <s v="R01"/>
    <d v="2023-05-28T00:00:00"/>
    <n v="145"/>
    <n v="4.5"/>
    <n v="2023"/>
    <s v="Sunday"/>
    <s v="30 to 60 mins"/>
    <n v="5"/>
  </r>
  <r>
    <s v="Call_7779"/>
    <s v="C0013"/>
    <n v="40"/>
    <s v="R05"/>
    <d v="2023-05-28T00:00:00"/>
    <n v="116"/>
    <n v="2.6"/>
    <n v="2023"/>
    <s v="Sunday"/>
    <s v="30 to 60 mins"/>
    <n v="3"/>
  </r>
  <r>
    <s v="Call_7780"/>
    <s v="C0010"/>
    <n v="122"/>
    <s v="R03"/>
    <d v="2023-05-28T00:00:00"/>
    <n v="45"/>
    <n v="4.2"/>
    <n v="2023"/>
    <s v="Sunday"/>
    <s v="More than 2 hours"/>
    <n v="4"/>
  </r>
  <r>
    <s v="Call_7781"/>
    <s v="C0011"/>
    <n v="98"/>
    <s v="R04"/>
    <d v="2023-05-29T00:00:00"/>
    <n v="35"/>
    <n v="4.5"/>
    <n v="2023"/>
    <s v="Monday"/>
    <s v="1 to 2 hours"/>
    <n v="5"/>
  </r>
  <r>
    <s v="Call_7782"/>
    <s v="C0009"/>
    <n v="110"/>
    <s v="R05"/>
    <d v="2023-05-29T00:00:00"/>
    <n v="100"/>
    <n v="4.4000000000000004"/>
    <n v="2023"/>
    <s v="Monday"/>
    <s v="1 to 2 hours"/>
    <n v="4"/>
  </r>
  <r>
    <s v="Call_7783"/>
    <s v="C0009"/>
    <n v="62"/>
    <s v="R01"/>
    <d v="2023-05-30T00:00:00"/>
    <n v="125"/>
    <n v="3.5"/>
    <n v="2023"/>
    <s v="Tuesday"/>
    <s v="1 to 2 hours"/>
    <n v="4"/>
  </r>
  <r>
    <s v="Call_7784"/>
    <s v="C0010"/>
    <n v="134"/>
    <s v="R03"/>
    <d v="2023-05-30T00:00:00"/>
    <n v="120"/>
    <n v="3"/>
    <n v="2023"/>
    <s v="Tuesday"/>
    <s v="More than 2 hours"/>
    <n v="3"/>
  </r>
  <r>
    <s v="Call_7785"/>
    <s v="C0015"/>
    <n v="94"/>
    <s v="R02"/>
    <d v="2023-05-30T00:00:00"/>
    <n v="180"/>
    <n v="4.7"/>
    <n v="2023"/>
    <s v="Tuesday"/>
    <s v="1 to 2 hours"/>
    <n v="5"/>
  </r>
  <r>
    <s v="Call_7786"/>
    <s v="C0007"/>
    <n v="63"/>
    <s v="R05"/>
    <d v="2023-05-30T00:00:00"/>
    <n v="44"/>
    <n v="3"/>
    <n v="2023"/>
    <s v="Tuesday"/>
    <s v="1 to 2 hours"/>
    <n v="3"/>
  </r>
  <r>
    <s v="Call_7787"/>
    <s v="C0006"/>
    <n v="95"/>
    <s v="R03"/>
    <d v="2023-05-30T00:00:00"/>
    <n v="86"/>
    <n v="3.6"/>
    <n v="2023"/>
    <s v="Tuesday"/>
    <s v="1 to 2 hours"/>
    <n v="4"/>
  </r>
  <r>
    <s v="Call_7788"/>
    <s v="C0010"/>
    <n v="106"/>
    <s v="R03"/>
    <d v="2023-05-31T00:00:00"/>
    <n v="120"/>
    <n v="4.0999999999999996"/>
    <n v="2023"/>
    <s v="Wednesday"/>
    <s v="1 to 2 hours"/>
    <n v="4"/>
  </r>
  <r>
    <s v="Call_7789"/>
    <s v="C0014"/>
    <n v="94"/>
    <s v="R02"/>
    <d v="2023-05-31T00:00:00"/>
    <n v="100"/>
    <n v="3.7"/>
    <n v="2023"/>
    <s v="Wednesday"/>
    <s v="1 to 2 hours"/>
    <n v="4"/>
  </r>
  <r>
    <s v="Call_7790"/>
    <s v="C0014"/>
    <n v="51"/>
    <s v="R02"/>
    <d v="2023-06-01T00:00:00"/>
    <n v="108"/>
    <n v="4.5"/>
    <n v="2023"/>
    <s v="Thursday"/>
    <s v="30 to 60 mins"/>
    <n v="5"/>
  </r>
  <r>
    <s v="Call_7791"/>
    <s v="C0008"/>
    <n v="39"/>
    <s v="R02"/>
    <d v="2023-06-01T00:00:00"/>
    <n v="46"/>
    <n v="4.5999999999999996"/>
    <n v="2023"/>
    <s v="Thursday"/>
    <s v="30 to 60 mins"/>
    <n v="5"/>
  </r>
  <r>
    <s v="Call_7792"/>
    <s v="C0013"/>
    <n v="111"/>
    <s v="R03"/>
    <d v="2023-06-01T00:00:00"/>
    <n v="210"/>
    <n v="4.3"/>
    <n v="2023"/>
    <s v="Thursday"/>
    <s v="1 to 2 hours"/>
    <n v="4"/>
  </r>
  <r>
    <s v="Call_7793"/>
    <s v="C0012"/>
    <n v="141"/>
    <s v="R01"/>
    <d v="2023-06-03T00:00:00"/>
    <n v="54"/>
    <n v="4.8"/>
    <n v="2023"/>
    <s v="Saturday"/>
    <s v="More than 2 hours"/>
    <n v="5"/>
  </r>
  <r>
    <s v="Call_7794"/>
    <s v="C0007"/>
    <n v="147"/>
    <s v="R03"/>
    <d v="2023-06-03T00:00:00"/>
    <n v="115"/>
    <n v="4.7"/>
    <n v="2023"/>
    <s v="Saturday"/>
    <s v="More than 2 hours"/>
    <n v="5"/>
  </r>
  <r>
    <s v="Call_7795"/>
    <s v="C0015"/>
    <n v="49"/>
    <s v="R02"/>
    <d v="2023-06-04T00:00:00"/>
    <n v="100"/>
    <n v="2.2000000000000002"/>
    <n v="2023"/>
    <s v="Sunday"/>
    <s v="30 to 60 mins"/>
    <n v="2"/>
  </r>
  <r>
    <s v="Call_7796"/>
    <s v="C0005"/>
    <n v="75"/>
    <s v="R03"/>
    <d v="2023-06-04T00:00:00"/>
    <n v="38"/>
    <n v="4.4000000000000004"/>
    <n v="2023"/>
    <s v="Sunday"/>
    <s v="1 to 2 hours"/>
    <n v="4"/>
  </r>
  <r>
    <s v="Call_7797"/>
    <s v="C0012"/>
    <n v="48"/>
    <s v="R01"/>
    <d v="2023-06-05T00:00:00"/>
    <n v="120"/>
    <n v="4.0999999999999996"/>
    <n v="2023"/>
    <s v="Monday"/>
    <s v="30 to 60 mins"/>
    <n v="4"/>
  </r>
  <r>
    <s v="Call_7798"/>
    <s v="C0009"/>
    <n v="48"/>
    <s v="R01"/>
    <d v="2023-06-05T00:00:00"/>
    <n v="120"/>
    <n v="4.0999999999999996"/>
    <n v="2023"/>
    <s v="Monday"/>
    <s v="30 to 60 mins"/>
    <n v="4"/>
  </r>
  <r>
    <s v="Call_7799"/>
    <s v="C0004"/>
    <n v="138"/>
    <s v="R02"/>
    <d v="2023-06-05T00:00:00"/>
    <n v="29"/>
    <n v="4.4000000000000004"/>
    <n v="2023"/>
    <s v="Monday"/>
    <s v="More than 2 hours"/>
    <n v="4"/>
  </r>
  <r>
    <s v="Call_7800"/>
    <s v="C0006"/>
    <n v="144"/>
    <s v="R02"/>
    <d v="2023-06-06T00:00:00"/>
    <n v="25"/>
    <n v="3.7"/>
    <n v="2023"/>
    <s v="Tuesday"/>
    <s v="More than 2 hours"/>
    <n v="4"/>
  </r>
  <r>
    <s v="Call_7801"/>
    <s v="C0001"/>
    <n v="119"/>
    <s v="R03"/>
    <d v="2023-06-07T00:00:00"/>
    <n v="116"/>
    <n v="3.8"/>
    <n v="2023"/>
    <s v="Wednesday"/>
    <s v="1 to 2 hours"/>
    <n v="4"/>
  </r>
  <r>
    <s v="Call_7802"/>
    <s v="C0004"/>
    <n v="101"/>
    <s v="R01"/>
    <d v="2023-06-08T00:00:00"/>
    <n v="132"/>
    <n v="4.3"/>
    <n v="2023"/>
    <s v="Thursday"/>
    <s v="1 to 2 hours"/>
    <n v="4"/>
  </r>
  <r>
    <s v="Call_7803"/>
    <s v="C0006"/>
    <n v="59"/>
    <s v="R03"/>
    <d v="2023-06-09T00:00:00"/>
    <n v="90"/>
    <n v="3.5"/>
    <n v="2023"/>
    <s v="Friday"/>
    <s v="30 to 60 mins"/>
    <n v="4"/>
  </r>
  <r>
    <s v="Call_7804"/>
    <s v="C0013"/>
    <n v="125"/>
    <s v="R05"/>
    <d v="2023-06-09T00:00:00"/>
    <n v="87"/>
    <n v="4.0999999999999996"/>
    <n v="2023"/>
    <s v="Friday"/>
    <s v="More than 2 hours"/>
    <n v="4"/>
  </r>
  <r>
    <s v="Call_7805"/>
    <s v="C0010"/>
    <n v="147"/>
    <s v="R03"/>
    <d v="2023-06-09T00:00:00"/>
    <n v="140"/>
    <n v="4.2"/>
    <n v="2023"/>
    <s v="Friday"/>
    <s v="More than 2 hours"/>
    <n v="4"/>
  </r>
  <r>
    <s v="Call_7806"/>
    <s v="C0002"/>
    <n v="76"/>
    <s v="R03"/>
    <d v="2023-06-09T00:00:00"/>
    <n v="164"/>
    <n v="4.5"/>
    <n v="2023"/>
    <s v="Friday"/>
    <s v="1 to 2 hours"/>
    <n v="5"/>
  </r>
  <r>
    <s v="Call_7807"/>
    <s v="C0007"/>
    <n v="99"/>
    <s v="R01"/>
    <d v="2023-06-10T00:00:00"/>
    <n v="180"/>
    <n v="3.8"/>
    <n v="2023"/>
    <s v="Saturday"/>
    <s v="1 to 2 hours"/>
    <n v="4"/>
  </r>
  <r>
    <s v="Call_7808"/>
    <s v="C0008"/>
    <n v="111"/>
    <s v="R04"/>
    <d v="2023-06-11T00:00:00"/>
    <n v="22"/>
    <n v="4.0999999999999996"/>
    <n v="2023"/>
    <s v="Sunday"/>
    <s v="1 to 2 hours"/>
    <n v="4"/>
  </r>
  <r>
    <s v="Call_7809"/>
    <s v="C0011"/>
    <n v="147"/>
    <s v="R05"/>
    <d v="2023-06-11T00:00:00"/>
    <n v="82"/>
    <n v="4.4000000000000004"/>
    <n v="2023"/>
    <s v="Sunday"/>
    <s v="More than 2 hours"/>
    <n v="4"/>
  </r>
  <r>
    <s v="Call_7810"/>
    <s v="C0003"/>
    <n v="141"/>
    <s v="R01"/>
    <d v="2023-06-11T00:00:00"/>
    <n v="100"/>
    <n v="4.5999999999999996"/>
    <n v="2023"/>
    <s v="Sunday"/>
    <s v="More than 2 hours"/>
    <n v="5"/>
  </r>
  <r>
    <s v="Call_7811"/>
    <s v="C0002"/>
    <n v="71"/>
    <s v="R03"/>
    <d v="2023-06-12T00:00:00"/>
    <n v="52"/>
    <n v="3.4"/>
    <n v="2023"/>
    <s v="Monday"/>
    <s v="1 to 2 hours"/>
    <n v="3"/>
  </r>
  <r>
    <s v="Call_7812"/>
    <s v="C0002"/>
    <n v="121"/>
    <s v="R05"/>
    <d v="2023-06-13T00:00:00"/>
    <n v="84"/>
    <n v="4.5999999999999996"/>
    <n v="2023"/>
    <s v="Tuesday"/>
    <s v="More than 2 hours"/>
    <n v="5"/>
  </r>
  <r>
    <s v="Call_7813"/>
    <s v="C0002"/>
    <n v="60"/>
    <s v="R05"/>
    <d v="2023-06-13T00:00:00"/>
    <n v="37"/>
    <n v="3.9"/>
    <n v="2023"/>
    <s v="Tuesday"/>
    <s v="30 to 60 mins"/>
    <n v="4"/>
  </r>
  <r>
    <s v="Call_7814"/>
    <s v="C0015"/>
    <n v="158"/>
    <s v="R01"/>
    <d v="2023-06-14T00:00:00"/>
    <n v="190"/>
    <n v="4"/>
    <n v="2023"/>
    <s v="Wednesday"/>
    <s v="More than 2 hours"/>
    <n v="4"/>
  </r>
  <r>
    <s v="Call_7815"/>
    <s v="C0010"/>
    <n v="159"/>
    <s v="R02"/>
    <d v="2023-06-14T00:00:00"/>
    <n v="66"/>
    <n v="3.4"/>
    <n v="2023"/>
    <s v="Wednesday"/>
    <s v="More than 2 hours"/>
    <n v="3"/>
  </r>
  <r>
    <s v="Call_7816"/>
    <s v="C0004"/>
    <n v="70"/>
    <s v="R03"/>
    <d v="2023-06-15T00:00:00"/>
    <n v="116"/>
    <n v="3.2"/>
    <n v="2023"/>
    <s v="Thursday"/>
    <s v="1 to 2 hours"/>
    <n v="3"/>
  </r>
  <r>
    <s v="Call_7817"/>
    <s v="C0012"/>
    <n v="78"/>
    <s v="R04"/>
    <d v="2023-06-15T00:00:00"/>
    <n v="28"/>
    <n v="3.9"/>
    <n v="2023"/>
    <s v="Thursday"/>
    <s v="1 to 2 hours"/>
    <n v="4"/>
  </r>
  <r>
    <s v="Call_7818"/>
    <s v="C0011"/>
    <n v="103"/>
    <s v="R03"/>
    <d v="2023-06-15T00:00:00"/>
    <n v="120"/>
    <n v="5"/>
    <n v="2023"/>
    <s v="Thursday"/>
    <s v="1 to 2 hours"/>
    <n v="5"/>
  </r>
  <r>
    <s v="Call_7819"/>
    <s v="C0005"/>
    <n v="108"/>
    <s v="R01"/>
    <d v="2023-06-15T00:00:00"/>
    <n v="56"/>
    <n v="3.5"/>
    <n v="2023"/>
    <s v="Thursday"/>
    <s v="1 to 2 hours"/>
    <n v="4"/>
  </r>
  <r>
    <s v="Call_7820"/>
    <s v="C0005"/>
    <n v="44"/>
    <s v="R05"/>
    <d v="2023-06-15T00:00:00"/>
    <n v="170"/>
    <n v="3.8"/>
    <n v="2023"/>
    <s v="Thursday"/>
    <s v="30 to 60 mins"/>
    <n v="4"/>
  </r>
  <r>
    <s v="Call_7821"/>
    <s v="C0012"/>
    <n v="127"/>
    <s v="R01"/>
    <d v="2023-06-16T00:00:00"/>
    <n v="200"/>
    <n v="4.8"/>
    <n v="2023"/>
    <s v="Friday"/>
    <s v="More than 2 hours"/>
    <n v="5"/>
  </r>
  <r>
    <s v="Call_7822"/>
    <s v="C0011"/>
    <n v="132"/>
    <s v="R03"/>
    <d v="2023-06-17T00:00:00"/>
    <n v="50"/>
    <n v="4.2"/>
    <n v="2023"/>
    <s v="Saturday"/>
    <s v="More than 2 hours"/>
    <n v="4"/>
  </r>
  <r>
    <s v="Call_7823"/>
    <s v="C0003"/>
    <n v="106"/>
    <s v="R04"/>
    <d v="2023-06-17T00:00:00"/>
    <n v="112"/>
    <n v="3.7"/>
    <n v="2023"/>
    <s v="Saturday"/>
    <s v="1 to 2 hours"/>
    <n v="4"/>
  </r>
  <r>
    <s v="Call_7824"/>
    <s v="C0008"/>
    <n v="107"/>
    <s v="R03"/>
    <d v="2023-06-18T00:00:00"/>
    <n v="39"/>
    <n v="4.8"/>
    <n v="2023"/>
    <s v="Sunday"/>
    <s v="1 to 2 hours"/>
    <n v="5"/>
  </r>
  <r>
    <s v="Call_7825"/>
    <s v="C0010"/>
    <n v="85"/>
    <s v="R04"/>
    <d v="2023-06-18T00:00:00"/>
    <n v="38"/>
    <n v="4.8"/>
    <n v="2023"/>
    <s v="Sunday"/>
    <s v="1 to 2 hours"/>
    <n v="5"/>
  </r>
  <r>
    <s v="Call_7826"/>
    <s v="C0007"/>
    <n v="49"/>
    <s v="R03"/>
    <d v="2023-06-19T00:00:00"/>
    <n v="84"/>
    <n v="2.9"/>
    <n v="2023"/>
    <s v="Monday"/>
    <s v="30 to 60 mins"/>
    <n v="3"/>
  </r>
  <r>
    <s v="Call_7827"/>
    <s v="C0002"/>
    <n v="117"/>
    <s v="R01"/>
    <d v="2023-06-20T00:00:00"/>
    <n v="82"/>
    <n v="3.5"/>
    <n v="2023"/>
    <s v="Tuesday"/>
    <s v="1 to 2 hours"/>
    <n v="4"/>
  </r>
  <r>
    <s v="Call_7828"/>
    <s v="C0008"/>
    <n v="136"/>
    <s v="R04"/>
    <d v="2023-06-20T00:00:00"/>
    <n v="37"/>
    <n v="0.9"/>
    <n v="2023"/>
    <s v="Tuesday"/>
    <s v="More than 2 hours"/>
    <n v="1"/>
  </r>
  <r>
    <s v="Call_7829"/>
    <s v="C0005"/>
    <n v="130"/>
    <s v="R02"/>
    <d v="2023-06-21T00:00:00"/>
    <n v="87"/>
    <n v="3.4"/>
    <n v="2023"/>
    <s v="Wednesday"/>
    <s v="More than 2 hours"/>
    <n v="3"/>
  </r>
  <r>
    <s v="Call_7830"/>
    <s v="C0005"/>
    <n v="73"/>
    <s v="R02"/>
    <d v="2023-06-21T00:00:00"/>
    <n v="75"/>
    <n v="2.7"/>
    <n v="2023"/>
    <s v="Wednesday"/>
    <s v="1 to 2 hours"/>
    <n v="3"/>
  </r>
  <r>
    <s v="Call_7831"/>
    <s v="C0007"/>
    <n v="80"/>
    <s v="R03"/>
    <d v="2023-06-21T00:00:00"/>
    <n v="32"/>
    <n v="4.7"/>
    <n v="2023"/>
    <s v="Wednesday"/>
    <s v="1 to 2 hours"/>
    <n v="5"/>
  </r>
  <r>
    <s v="Call_7832"/>
    <s v="C0001"/>
    <n v="44"/>
    <s v="R01"/>
    <d v="2023-06-21T00:00:00"/>
    <n v="33"/>
    <n v="3"/>
    <n v="2023"/>
    <s v="Wednesday"/>
    <s v="30 to 60 mins"/>
    <n v="3"/>
  </r>
  <r>
    <s v="Call_7833"/>
    <s v="C0001"/>
    <n v="102"/>
    <s v="R05"/>
    <d v="2023-06-21T00:00:00"/>
    <n v="76"/>
    <n v="4.2"/>
    <n v="2023"/>
    <s v="Wednesday"/>
    <s v="1 to 2 hours"/>
    <n v="4"/>
  </r>
  <r>
    <s v="Call_7834"/>
    <s v="C0015"/>
    <n v="74"/>
    <s v="R05"/>
    <d v="2023-06-21T00:00:00"/>
    <n v="117"/>
    <n v="4.8"/>
    <n v="2023"/>
    <s v="Wednesday"/>
    <s v="1 to 2 hours"/>
    <n v="5"/>
  </r>
  <r>
    <s v="Call_7835"/>
    <s v="C0007"/>
    <n v="52"/>
    <s v="R01"/>
    <d v="2023-06-23T00:00:00"/>
    <n v="70"/>
    <n v="4.0999999999999996"/>
    <n v="2023"/>
    <s v="Friday"/>
    <s v="30 to 60 mins"/>
    <n v="4"/>
  </r>
  <r>
    <s v="Call_7836"/>
    <s v="C0007"/>
    <n v="74"/>
    <s v="R02"/>
    <d v="2023-06-23T00:00:00"/>
    <n v="37"/>
    <n v="2.7"/>
    <n v="2023"/>
    <s v="Friday"/>
    <s v="1 to 2 hours"/>
    <n v="3"/>
  </r>
  <r>
    <s v="Call_7837"/>
    <s v="C0005"/>
    <n v="96"/>
    <s v="R05"/>
    <d v="2023-06-23T00:00:00"/>
    <n v="46"/>
    <n v="2.9"/>
    <n v="2023"/>
    <s v="Friday"/>
    <s v="1 to 2 hours"/>
    <n v="3"/>
  </r>
  <r>
    <s v="Call_7838"/>
    <s v="C0013"/>
    <n v="104"/>
    <s v="R03"/>
    <d v="2023-06-23T00:00:00"/>
    <n v="136"/>
    <n v="5"/>
    <n v="2023"/>
    <s v="Friday"/>
    <s v="1 to 2 hours"/>
    <n v="5"/>
  </r>
  <r>
    <s v="Call_7839"/>
    <s v="C0005"/>
    <n v="123"/>
    <s v="R05"/>
    <d v="2023-06-24T00:00:00"/>
    <n v="44"/>
    <n v="4.5999999999999996"/>
    <n v="2023"/>
    <s v="Saturday"/>
    <s v="More than 2 hours"/>
    <n v="5"/>
  </r>
  <r>
    <s v="Call_7840"/>
    <s v="C0009"/>
    <n v="100"/>
    <s v="R04"/>
    <d v="2023-06-24T00:00:00"/>
    <n v="69"/>
    <n v="3"/>
    <n v="2023"/>
    <s v="Saturday"/>
    <s v="1 to 2 hours"/>
    <n v="3"/>
  </r>
  <r>
    <s v="Call_7841"/>
    <s v="C0013"/>
    <n v="35"/>
    <s v="R01"/>
    <d v="2023-06-25T00:00:00"/>
    <n v="86"/>
    <n v="4.5999999999999996"/>
    <n v="2023"/>
    <s v="Sunday"/>
    <s v="30 to 60 mins"/>
    <n v="5"/>
  </r>
  <r>
    <s v="Call_7842"/>
    <s v="C0007"/>
    <n v="123"/>
    <s v="R03"/>
    <d v="2023-06-25T00:00:00"/>
    <n v="68"/>
    <n v="4.5"/>
    <n v="2023"/>
    <s v="Sunday"/>
    <s v="More than 2 hours"/>
    <n v="5"/>
  </r>
  <r>
    <s v="Call_7843"/>
    <s v="C0002"/>
    <n v="133"/>
    <s v="R01"/>
    <d v="2023-06-26T00:00:00"/>
    <n v="21"/>
    <n v="3.7"/>
    <n v="2023"/>
    <s v="Monday"/>
    <s v="More than 2 hours"/>
    <n v="4"/>
  </r>
  <r>
    <s v="Call_7844"/>
    <s v="C0005"/>
    <n v="126"/>
    <s v="R02"/>
    <d v="2023-06-26T00:00:00"/>
    <n v="190"/>
    <n v="2.4"/>
    <n v="2023"/>
    <s v="Monday"/>
    <s v="More than 2 hours"/>
    <n v="2"/>
  </r>
  <r>
    <s v="Call_7845"/>
    <s v="C0007"/>
    <n v="39"/>
    <s v="R05"/>
    <d v="2023-06-26T00:00:00"/>
    <n v="176"/>
    <n v="4.3"/>
    <n v="2023"/>
    <s v="Monday"/>
    <s v="30 to 60 mins"/>
    <n v="4"/>
  </r>
  <r>
    <s v="Call_7846"/>
    <s v="C0015"/>
    <n v="31"/>
    <s v="R03"/>
    <d v="2023-06-26T00:00:00"/>
    <n v="172"/>
    <n v="3.9"/>
    <n v="2023"/>
    <s v="Monday"/>
    <s v="30 to 60 mins"/>
    <n v="4"/>
  </r>
  <r>
    <s v="Call_7847"/>
    <s v="C0011"/>
    <n v="25"/>
    <s v="R01"/>
    <d v="2023-06-26T00:00:00"/>
    <n v="84"/>
    <n v="4.5"/>
    <n v="2023"/>
    <s v="Monday"/>
    <s v="10 to 30 mins"/>
    <n v="5"/>
  </r>
  <r>
    <s v="Call_7848"/>
    <s v="C0004"/>
    <n v="132"/>
    <s v="R04"/>
    <d v="2023-06-27T00:00:00"/>
    <n v="42"/>
    <n v="5"/>
    <n v="2023"/>
    <s v="Tuesday"/>
    <s v="More than 2 hours"/>
    <n v="5"/>
  </r>
  <r>
    <s v="Call_7849"/>
    <s v="C0013"/>
    <n v="63"/>
    <s v="R02"/>
    <d v="2023-06-27T00:00:00"/>
    <n v="70"/>
    <n v="1.6"/>
    <n v="2023"/>
    <s v="Tuesday"/>
    <s v="1 to 2 hours"/>
    <n v="2"/>
  </r>
  <r>
    <s v="Call_7850"/>
    <s v="C0009"/>
    <n v="135"/>
    <s v="R04"/>
    <d v="2023-06-27T00:00:00"/>
    <n v="60"/>
    <n v="4.3"/>
    <n v="2023"/>
    <s v="Tuesday"/>
    <s v="More than 2 hours"/>
    <n v="4"/>
  </r>
  <r>
    <s v="Call_7851"/>
    <s v="C0010"/>
    <n v="101"/>
    <s v="R02"/>
    <d v="2023-06-27T00:00:00"/>
    <n v="84"/>
    <n v="3.5"/>
    <n v="2023"/>
    <s v="Tuesday"/>
    <s v="1 to 2 hours"/>
    <n v="4"/>
  </r>
  <r>
    <s v="Call_7852"/>
    <s v="C0002"/>
    <n v="80"/>
    <s v="R05"/>
    <d v="2023-06-28T00:00:00"/>
    <n v="68"/>
    <n v="3.1"/>
    <n v="2023"/>
    <s v="Wednesday"/>
    <s v="1 to 2 hours"/>
    <n v="3"/>
  </r>
  <r>
    <s v="Call_7853"/>
    <s v="C0001"/>
    <n v="28"/>
    <s v="R05"/>
    <d v="2023-06-28T00:00:00"/>
    <n v="44"/>
    <n v="2.9"/>
    <n v="2023"/>
    <s v="Wednesday"/>
    <s v="10 to 30 mins"/>
    <n v="3"/>
  </r>
  <r>
    <s v="Call_7854"/>
    <s v="C0010"/>
    <n v="102"/>
    <s v="R04"/>
    <d v="2023-06-29T00:00:00"/>
    <n v="99"/>
    <n v="3.2"/>
    <n v="2023"/>
    <s v="Thursday"/>
    <s v="1 to 2 hours"/>
    <n v="3"/>
  </r>
  <r>
    <s v="Call_7855"/>
    <s v="C0013"/>
    <n v="60"/>
    <s v="R04"/>
    <d v="2023-06-30T00:00:00"/>
    <n v="66"/>
    <n v="3.2"/>
    <n v="2023"/>
    <s v="Friday"/>
    <s v="30 to 60 mins"/>
    <n v="3"/>
  </r>
  <r>
    <s v="Call_7856"/>
    <s v="C0014"/>
    <n v="103"/>
    <s v="R04"/>
    <d v="2023-06-30T00:00:00"/>
    <n v="102"/>
    <n v="4.5"/>
    <n v="2023"/>
    <s v="Friday"/>
    <s v="1 to 2 hours"/>
    <n v="5"/>
  </r>
  <r>
    <s v="Call_7857"/>
    <s v="C0002"/>
    <n v="90"/>
    <s v="R05"/>
    <d v="2023-07-01T00:00:00"/>
    <n v="129"/>
    <n v="3.9"/>
    <n v="2024"/>
    <s v="Saturday"/>
    <s v="1 to 2 hours"/>
    <n v="4"/>
  </r>
  <r>
    <s v="Call_7858"/>
    <s v="C0012"/>
    <n v="88"/>
    <s v="R04"/>
    <d v="2023-07-01T00:00:00"/>
    <n v="80"/>
    <n v="4.2"/>
    <n v="2024"/>
    <s v="Saturday"/>
    <s v="1 to 2 hours"/>
    <n v="4"/>
  </r>
  <r>
    <s v="Call_7859"/>
    <s v="C0014"/>
    <n v="37"/>
    <s v="R04"/>
    <d v="2023-07-01T00:00:00"/>
    <n v="54"/>
    <n v="1.8"/>
    <n v="2024"/>
    <s v="Saturday"/>
    <s v="30 to 60 mins"/>
    <n v="2"/>
  </r>
  <r>
    <s v="Call_7860"/>
    <s v="C0001"/>
    <n v="142"/>
    <s v="R05"/>
    <d v="2023-07-01T00:00:00"/>
    <n v="116"/>
    <n v="4.2"/>
    <n v="2024"/>
    <s v="Saturday"/>
    <s v="More than 2 hours"/>
    <n v="4"/>
  </r>
  <r>
    <s v="Call_7861"/>
    <s v="C0001"/>
    <n v="153"/>
    <s v="R01"/>
    <d v="2023-07-01T00:00:00"/>
    <n v="102"/>
    <n v="3.1"/>
    <n v="2024"/>
    <s v="Saturday"/>
    <s v="More than 2 hours"/>
    <n v="3"/>
  </r>
  <r>
    <s v="Call_7862"/>
    <s v="C0006"/>
    <n v="128"/>
    <s v="R02"/>
    <d v="2023-07-01T00:00:00"/>
    <n v="140"/>
    <n v="4.3"/>
    <n v="2024"/>
    <s v="Saturday"/>
    <s v="More than 2 hours"/>
    <n v="4"/>
  </r>
  <r>
    <s v="Call_7863"/>
    <s v="C0013"/>
    <n v="110"/>
    <s v="R02"/>
    <d v="2023-07-02T00:00:00"/>
    <n v="104"/>
    <n v="4.4000000000000004"/>
    <n v="2024"/>
    <s v="Sunday"/>
    <s v="1 to 2 hours"/>
    <n v="4"/>
  </r>
  <r>
    <s v="Call_7864"/>
    <s v="C0006"/>
    <n v="139"/>
    <s v="R04"/>
    <d v="2023-07-02T00:00:00"/>
    <n v="81"/>
    <n v="4.4000000000000004"/>
    <n v="2024"/>
    <s v="Sunday"/>
    <s v="More than 2 hours"/>
    <n v="4"/>
  </r>
  <r>
    <s v="Call_7865"/>
    <s v="C0010"/>
    <n v="109"/>
    <s v="R03"/>
    <d v="2023-07-04T00:00:00"/>
    <n v="140"/>
    <n v="2.4"/>
    <n v="2024"/>
    <s v="Tuesday"/>
    <s v="1 to 2 hours"/>
    <n v="2"/>
  </r>
  <r>
    <s v="Call_7866"/>
    <s v="C0004"/>
    <n v="57"/>
    <s v="R05"/>
    <d v="2023-07-05T00:00:00"/>
    <n v="120"/>
    <n v="3.5"/>
    <n v="2024"/>
    <s v="Wednesday"/>
    <s v="30 to 60 mins"/>
    <n v="4"/>
  </r>
  <r>
    <s v="Call_7867"/>
    <s v="C0010"/>
    <n v="68"/>
    <s v="R04"/>
    <d v="2023-07-05T00:00:00"/>
    <n v="41"/>
    <n v="3.1"/>
    <n v="2024"/>
    <s v="Wednesday"/>
    <s v="1 to 2 hours"/>
    <n v="3"/>
  </r>
  <r>
    <s v="Call_7868"/>
    <s v="C0011"/>
    <n v="128"/>
    <s v="R04"/>
    <d v="2023-07-05T00:00:00"/>
    <n v="116"/>
    <n v="2.2999999999999998"/>
    <n v="2024"/>
    <s v="Wednesday"/>
    <s v="More than 2 hours"/>
    <n v="2"/>
  </r>
  <r>
    <s v="Call_7869"/>
    <s v="C0003"/>
    <n v="102"/>
    <s v="R05"/>
    <d v="2023-07-06T00:00:00"/>
    <n v="70"/>
    <n v="2.8"/>
    <n v="2024"/>
    <s v="Thursday"/>
    <s v="1 to 2 hours"/>
    <n v="3"/>
  </r>
  <r>
    <s v="Call_7870"/>
    <s v="C0006"/>
    <n v="52"/>
    <s v="R01"/>
    <d v="2023-07-06T00:00:00"/>
    <n v="42"/>
    <n v="4.5"/>
    <n v="2024"/>
    <s v="Thursday"/>
    <s v="30 to 60 mins"/>
    <n v="5"/>
  </r>
  <r>
    <s v="Call_7871"/>
    <s v="C0011"/>
    <n v="55"/>
    <s v="R02"/>
    <d v="2023-07-07T00:00:00"/>
    <n v="112"/>
    <n v="4.5"/>
    <n v="2024"/>
    <s v="Friday"/>
    <s v="30 to 60 mins"/>
    <n v="5"/>
  </r>
  <r>
    <s v="Call_7872"/>
    <s v="C0014"/>
    <n v="107"/>
    <s v="R04"/>
    <d v="2023-07-07T00:00:00"/>
    <n v="20"/>
    <n v="4.5"/>
    <n v="2024"/>
    <s v="Friday"/>
    <s v="1 to 2 hours"/>
    <n v="5"/>
  </r>
  <r>
    <s v="Call_7873"/>
    <s v="C0002"/>
    <n v="88"/>
    <s v="R01"/>
    <d v="2023-07-08T00:00:00"/>
    <n v="110"/>
    <n v="4.8"/>
    <n v="2024"/>
    <s v="Saturday"/>
    <s v="1 to 2 hours"/>
    <n v="5"/>
  </r>
  <r>
    <s v="Call_7874"/>
    <s v="C0007"/>
    <n v="49"/>
    <s v="R01"/>
    <d v="2023-07-08T00:00:00"/>
    <n v="39"/>
    <n v="4.5999999999999996"/>
    <n v="2024"/>
    <s v="Saturday"/>
    <s v="30 to 60 mins"/>
    <n v="5"/>
  </r>
  <r>
    <s v="Call_7875"/>
    <s v="C0002"/>
    <n v="72"/>
    <s v="R05"/>
    <d v="2023-07-08T00:00:00"/>
    <n v="76"/>
    <n v="4.5"/>
    <n v="2024"/>
    <s v="Saturday"/>
    <s v="1 to 2 hours"/>
    <n v="5"/>
  </r>
  <r>
    <s v="Call_7876"/>
    <s v="C0004"/>
    <n v="50"/>
    <s v="R05"/>
    <d v="2023-07-08T00:00:00"/>
    <n v="40"/>
    <n v="5"/>
    <n v="2024"/>
    <s v="Saturday"/>
    <s v="30 to 60 mins"/>
    <n v="5"/>
  </r>
  <r>
    <s v="Call_7877"/>
    <s v="C0002"/>
    <n v="52"/>
    <s v="R04"/>
    <d v="2023-07-08T00:00:00"/>
    <n v="42"/>
    <n v="4.8"/>
    <n v="2024"/>
    <s v="Saturday"/>
    <s v="30 to 60 mins"/>
    <n v="5"/>
  </r>
  <r>
    <s v="Call_7878"/>
    <s v="C0005"/>
    <n v="85"/>
    <s v="R03"/>
    <d v="2023-07-09T00:00:00"/>
    <n v="215"/>
    <n v="3.5"/>
    <n v="2024"/>
    <s v="Sunday"/>
    <s v="1 to 2 hours"/>
    <n v="4"/>
  </r>
  <r>
    <s v="Call_7879"/>
    <s v="C0009"/>
    <n v="98"/>
    <s v="R03"/>
    <d v="2023-07-10T00:00:00"/>
    <n v="130"/>
    <n v="3.4"/>
    <n v="2024"/>
    <s v="Monday"/>
    <s v="1 to 2 hours"/>
    <n v="3"/>
  </r>
  <r>
    <s v="Call_7880"/>
    <s v="C0015"/>
    <n v="52"/>
    <s v="R03"/>
    <d v="2023-07-10T00:00:00"/>
    <n v="190"/>
    <n v="3.3"/>
    <n v="2024"/>
    <s v="Monday"/>
    <s v="30 to 60 mins"/>
    <n v="3"/>
  </r>
  <r>
    <s v="Call_7881"/>
    <s v="C0011"/>
    <n v="154"/>
    <s v="R01"/>
    <d v="2023-07-10T00:00:00"/>
    <n v="164"/>
    <n v="4.9000000000000004"/>
    <n v="2024"/>
    <s v="Monday"/>
    <s v="More than 2 hours"/>
    <n v="5"/>
  </r>
  <r>
    <s v="Call_7882"/>
    <s v="C0008"/>
    <n v="131"/>
    <s v="R02"/>
    <d v="2023-07-11T00:00:00"/>
    <n v="76"/>
    <n v="4.5"/>
    <n v="2024"/>
    <s v="Tuesday"/>
    <s v="More than 2 hours"/>
    <n v="5"/>
  </r>
  <r>
    <s v="Call_7883"/>
    <s v="C0005"/>
    <n v="73"/>
    <s v="R02"/>
    <d v="2023-07-12T00:00:00"/>
    <n v="87"/>
    <n v="4.8"/>
    <n v="2024"/>
    <s v="Wednesday"/>
    <s v="1 to 2 hours"/>
    <n v="5"/>
  </r>
  <r>
    <s v="Call_7884"/>
    <s v="C0013"/>
    <n v="45"/>
    <s v="R03"/>
    <d v="2023-07-12T00:00:00"/>
    <n v="84"/>
    <n v="4.8"/>
    <n v="2024"/>
    <s v="Wednesday"/>
    <s v="30 to 60 mins"/>
    <n v="5"/>
  </r>
  <r>
    <s v="Call_7885"/>
    <s v="C0006"/>
    <n v="114"/>
    <s v="R04"/>
    <d v="2023-07-12T00:00:00"/>
    <n v="114"/>
    <n v="3.9"/>
    <n v="2024"/>
    <s v="Wednesday"/>
    <s v="1 to 2 hours"/>
    <n v="4"/>
  </r>
  <r>
    <s v="Call_7886"/>
    <s v="C0009"/>
    <n v="69"/>
    <s v="R02"/>
    <d v="2023-07-13T00:00:00"/>
    <n v="56"/>
    <n v="3.9"/>
    <n v="2024"/>
    <s v="Thursday"/>
    <s v="1 to 2 hours"/>
    <n v="4"/>
  </r>
  <r>
    <s v="Call_7887"/>
    <s v="C0008"/>
    <n v="33"/>
    <s v="R01"/>
    <d v="2023-07-13T00:00:00"/>
    <n v="27"/>
    <n v="3.7"/>
    <n v="2024"/>
    <s v="Thursday"/>
    <s v="30 to 60 mins"/>
    <n v="4"/>
  </r>
  <r>
    <s v="Call_7888"/>
    <s v="C0004"/>
    <n v="31"/>
    <s v="R05"/>
    <d v="2023-07-14T00:00:00"/>
    <n v="84"/>
    <n v="4.8"/>
    <n v="2024"/>
    <s v="Friday"/>
    <s v="30 to 60 mins"/>
    <n v="5"/>
  </r>
  <r>
    <s v="Call_7889"/>
    <s v="C0013"/>
    <n v="168"/>
    <s v="R01"/>
    <d v="2023-07-14T00:00:00"/>
    <n v="72"/>
    <n v="3.5"/>
    <n v="2024"/>
    <s v="Friday"/>
    <s v="More than 2 hours"/>
    <n v="4"/>
  </r>
  <r>
    <s v="Call_7890"/>
    <s v="C0005"/>
    <n v="111"/>
    <s v="R04"/>
    <d v="2023-07-15T00:00:00"/>
    <n v="126"/>
    <n v="4.2"/>
    <n v="2024"/>
    <s v="Saturday"/>
    <s v="1 to 2 hours"/>
    <n v="4"/>
  </r>
  <r>
    <s v="Call_7891"/>
    <s v="C0004"/>
    <n v="80"/>
    <s v="R01"/>
    <d v="2023-07-16T00:00:00"/>
    <n v="88"/>
    <n v="4.9000000000000004"/>
    <n v="2024"/>
    <s v="Sunday"/>
    <s v="1 to 2 hours"/>
    <n v="5"/>
  </r>
  <r>
    <s v="Call_7892"/>
    <s v="C0003"/>
    <n v="37"/>
    <s v="R01"/>
    <d v="2023-07-16T00:00:00"/>
    <n v="124"/>
    <n v="4.5999999999999996"/>
    <n v="2024"/>
    <s v="Sunday"/>
    <s v="30 to 60 mins"/>
    <n v="5"/>
  </r>
  <r>
    <s v="Call_7893"/>
    <s v="C0001"/>
    <n v="137"/>
    <s v="R01"/>
    <d v="2023-07-17T00:00:00"/>
    <n v="84"/>
    <n v="2.6"/>
    <n v="2024"/>
    <s v="Monday"/>
    <s v="More than 2 hours"/>
    <n v="3"/>
  </r>
  <r>
    <s v="Call_7894"/>
    <s v="C0009"/>
    <n v="123"/>
    <s v="R04"/>
    <d v="2023-07-17T00:00:00"/>
    <n v="80"/>
    <n v="2.7"/>
    <n v="2024"/>
    <s v="Monday"/>
    <s v="More than 2 hours"/>
    <n v="3"/>
  </r>
  <r>
    <s v="Call_7895"/>
    <s v="C0012"/>
    <n v="105"/>
    <s v="R04"/>
    <d v="2023-07-18T00:00:00"/>
    <n v="176"/>
    <n v="4.7"/>
    <n v="2024"/>
    <s v="Tuesday"/>
    <s v="1 to 2 hours"/>
    <n v="5"/>
  </r>
  <r>
    <s v="Call_7896"/>
    <s v="C0003"/>
    <n v="76"/>
    <s v="R03"/>
    <d v="2023-07-19T00:00:00"/>
    <n v="84"/>
    <n v="3.9"/>
    <n v="2024"/>
    <s v="Wednesday"/>
    <s v="1 to 2 hours"/>
    <n v="4"/>
  </r>
  <r>
    <s v="Call_7897"/>
    <s v="C0004"/>
    <n v="144"/>
    <s v="R03"/>
    <d v="2023-07-19T00:00:00"/>
    <n v="164"/>
    <n v="2.8"/>
    <n v="2024"/>
    <s v="Wednesday"/>
    <s v="More than 2 hours"/>
    <n v="3"/>
  </r>
  <r>
    <s v="Call_7898"/>
    <s v="C0008"/>
    <n v="109"/>
    <s v="R05"/>
    <d v="2023-07-19T00:00:00"/>
    <n v="132"/>
    <n v="3.1"/>
    <n v="2024"/>
    <s v="Wednesday"/>
    <s v="1 to 2 hours"/>
    <n v="3"/>
  </r>
  <r>
    <s v="Call_7899"/>
    <s v="C0009"/>
    <n v="172"/>
    <s v="R01"/>
    <d v="2023-07-20T00:00:00"/>
    <n v="27"/>
    <n v="4.2"/>
    <n v="2024"/>
    <s v="Thursday"/>
    <s v="More than 2 hours"/>
    <n v="4"/>
  </r>
  <r>
    <s v="Call_7900"/>
    <s v="C0004"/>
    <n v="56"/>
    <s v="R04"/>
    <d v="2023-07-20T00:00:00"/>
    <n v="27"/>
    <n v="4.3"/>
    <n v="2024"/>
    <s v="Thursday"/>
    <s v="30 to 60 mins"/>
    <n v="4"/>
  </r>
  <r>
    <s v="Call_7901"/>
    <s v="C0004"/>
    <n v="121"/>
    <s v="R02"/>
    <d v="2023-07-20T00:00:00"/>
    <n v="20"/>
    <n v="2.7"/>
    <n v="2024"/>
    <s v="Thursday"/>
    <s v="More than 2 hours"/>
    <n v="3"/>
  </r>
  <r>
    <s v="Call_7902"/>
    <s v="C0009"/>
    <n v="41"/>
    <s v="R04"/>
    <d v="2023-07-21T00:00:00"/>
    <n v="112"/>
    <n v="2.2999999999999998"/>
    <n v="2024"/>
    <s v="Friday"/>
    <s v="30 to 60 mins"/>
    <n v="2"/>
  </r>
  <r>
    <s v="Call_7903"/>
    <s v="C0014"/>
    <n v="60"/>
    <s v="R01"/>
    <d v="2023-07-21T00:00:00"/>
    <n v="60"/>
    <n v="2.2999999999999998"/>
    <n v="2024"/>
    <s v="Friday"/>
    <s v="30 to 60 mins"/>
    <n v="2"/>
  </r>
  <r>
    <s v="Call_7904"/>
    <s v="C0014"/>
    <n v="144"/>
    <s v="R01"/>
    <d v="2023-07-22T00:00:00"/>
    <n v="102"/>
    <n v="2.9"/>
    <n v="2024"/>
    <s v="Saturday"/>
    <s v="More than 2 hours"/>
    <n v="3"/>
  </r>
  <r>
    <s v="Call_7905"/>
    <s v="C0011"/>
    <n v="67"/>
    <s v="R01"/>
    <d v="2023-07-22T00:00:00"/>
    <n v="38"/>
    <n v="4.2"/>
    <n v="2024"/>
    <s v="Saturday"/>
    <s v="1 to 2 hours"/>
    <n v="4"/>
  </r>
  <r>
    <s v="Call_7906"/>
    <s v="C0009"/>
    <n v="162"/>
    <s v="R05"/>
    <d v="2023-07-22T00:00:00"/>
    <n v="82"/>
    <n v="4.5999999999999996"/>
    <n v="2024"/>
    <s v="Saturday"/>
    <s v="More than 2 hours"/>
    <n v="5"/>
  </r>
  <r>
    <s v="Call_7907"/>
    <s v="C0014"/>
    <n v="87"/>
    <s v="R02"/>
    <d v="2023-07-25T00:00:00"/>
    <n v="125"/>
    <n v="4.5"/>
    <n v="2024"/>
    <s v="Tuesday"/>
    <s v="1 to 2 hours"/>
    <n v="5"/>
  </r>
  <r>
    <s v="Call_7908"/>
    <s v="C0015"/>
    <n v="10"/>
    <s v="R03"/>
    <d v="2023-07-26T00:00:00"/>
    <n v="72"/>
    <n v="3.7"/>
    <n v="2024"/>
    <s v="Wednesday"/>
    <s v="Under 10 mins"/>
    <n v="4"/>
  </r>
  <r>
    <s v="Call_7909"/>
    <s v="C0004"/>
    <n v="138"/>
    <s v="R03"/>
    <d v="2023-07-26T00:00:00"/>
    <n v="195"/>
    <n v="4.0999999999999996"/>
    <n v="2024"/>
    <s v="Wednesday"/>
    <s v="More than 2 hours"/>
    <n v="4"/>
  </r>
  <r>
    <s v="Call_7910"/>
    <s v="C0009"/>
    <n v="31"/>
    <s v="R03"/>
    <d v="2023-07-27T00:00:00"/>
    <n v="160"/>
    <n v="3.4"/>
    <n v="2024"/>
    <s v="Thursday"/>
    <s v="30 to 60 mins"/>
    <n v="3"/>
  </r>
  <r>
    <s v="Call_7911"/>
    <s v="C0012"/>
    <n v="75"/>
    <s v="R05"/>
    <d v="2023-07-27T00:00:00"/>
    <n v="78"/>
    <n v="3.3"/>
    <n v="2024"/>
    <s v="Thursday"/>
    <s v="1 to 2 hours"/>
    <n v="3"/>
  </r>
  <r>
    <s v="Call_7912"/>
    <s v="C0003"/>
    <n v="65"/>
    <s v="R05"/>
    <d v="2023-07-28T00:00:00"/>
    <n v="70"/>
    <n v="4.4000000000000004"/>
    <n v="2024"/>
    <s v="Friday"/>
    <s v="1 to 2 hours"/>
    <n v="4"/>
  </r>
  <r>
    <s v="Call_7913"/>
    <s v="C0005"/>
    <n v="106"/>
    <s v="R04"/>
    <d v="2023-07-28T00:00:00"/>
    <n v="105"/>
    <n v="4.2"/>
    <n v="2024"/>
    <s v="Friday"/>
    <s v="1 to 2 hours"/>
    <n v="4"/>
  </r>
  <r>
    <s v="Call_7914"/>
    <s v="C0003"/>
    <n v="107"/>
    <s v="R04"/>
    <d v="2023-07-29T00:00:00"/>
    <n v="78"/>
    <n v="3.4"/>
    <n v="2024"/>
    <s v="Saturday"/>
    <s v="1 to 2 hours"/>
    <n v="3"/>
  </r>
  <r>
    <s v="Call_7915"/>
    <s v="C0001"/>
    <n v="78"/>
    <s v="R04"/>
    <d v="2023-07-31T00:00:00"/>
    <n v="205"/>
    <n v="4.4000000000000004"/>
    <n v="2024"/>
    <s v="Monday"/>
    <s v="1 to 2 hours"/>
    <n v="4"/>
  </r>
  <r>
    <s v="Call_7916"/>
    <s v="C0002"/>
    <n v="122"/>
    <s v="R04"/>
    <d v="2023-07-31T00:00:00"/>
    <n v="78"/>
    <n v="2.7"/>
    <n v="2024"/>
    <s v="Monday"/>
    <s v="More than 2 hours"/>
    <n v="3"/>
  </r>
  <r>
    <s v="Call_7917"/>
    <s v="C0004"/>
    <n v="58"/>
    <s v="R03"/>
    <d v="2023-07-31T00:00:00"/>
    <n v="38"/>
    <n v="4.5"/>
    <n v="2024"/>
    <s v="Monday"/>
    <s v="30 to 60 mins"/>
    <n v="5"/>
  </r>
  <r>
    <s v="Call_7918"/>
    <s v="C0001"/>
    <n v="33"/>
    <s v="R01"/>
    <d v="2023-07-31T00:00:00"/>
    <n v="92"/>
    <n v="1.7"/>
    <n v="2024"/>
    <s v="Monday"/>
    <s v="30 to 60 mins"/>
    <n v="2"/>
  </r>
  <r>
    <s v="Call_7919"/>
    <s v="C0008"/>
    <n v="164"/>
    <s v="R05"/>
    <d v="2023-07-31T00:00:00"/>
    <n v="36"/>
    <n v="4.7"/>
    <n v="2024"/>
    <s v="Monday"/>
    <s v="More than 2 hours"/>
    <n v="5"/>
  </r>
  <r>
    <s v="Call_7920"/>
    <s v="C0012"/>
    <n v="163"/>
    <s v="R02"/>
    <d v="2023-07-31T00:00:00"/>
    <n v="76"/>
    <n v="4.4000000000000004"/>
    <n v="2024"/>
    <s v="Monday"/>
    <s v="More than 2 hours"/>
    <n v="4"/>
  </r>
  <r>
    <s v="Call_7921"/>
    <s v="C0007"/>
    <n v="71"/>
    <s v="R05"/>
    <d v="2023-08-02T00:00:00"/>
    <n v="170"/>
    <n v="3.5"/>
    <n v="2024"/>
    <s v="Wednesday"/>
    <s v="1 to 2 hours"/>
    <n v="4"/>
  </r>
  <r>
    <s v="Call_7922"/>
    <s v="C0001"/>
    <n v="103"/>
    <s v="R03"/>
    <d v="2023-08-03T00:00:00"/>
    <n v="117"/>
    <n v="4.7"/>
    <n v="2024"/>
    <s v="Thursday"/>
    <s v="1 to 2 hours"/>
    <n v="5"/>
  </r>
  <r>
    <s v="Call_7923"/>
    <s v="C0006"/>
    <n v="69"/>
    <s v="R02"/>
    <d v="2023-08-03T00:00:00"/>
    <n v="20"/>
    <n v="4.3"/>
    <n v="2024"/>
    <s v="Thursday"/>
    <s v="1 to 2 hours"/>
    <n v="4"/>
  </r>
  <r>
    <s v="Call_7924"/>
    <s v="C0012"/>
    <n v="111"/>
    <s v="R03"/>
    <d v="2023-08-03T00:00:00"/>
    <n v="99"/>
    <n v="4.0999999999999996"/>
    <n v="2024"/>
    <s v="Thursday"/>
    <s v="1 to 2 hours"/>
    <n v="4"/>
  </r>
  <r>
    <s v="Call_7925"/>
    <s v="C0010"/>
    <n v="97"/>
    <s v="R02"/>
    <d v="2023-08-04T00:00:00"/>
    <n v="105"/>
    <n v="2.9"/>
    <n v="2024"/>
    <s v="Friday"/>
    <s v="1 to 2 hours"/>
    <n v="3"/>
  </r>
  <r>
    <s v="Call_7926"/>
    <s v="C0013"/>
    <n v="144"/>
    <s v="R04"/>
    <d v="2023-08-04T00:00:00"/>
    <n v="195"/>
    <n v="3.4"/>
    <n v="2024"/>
    <s v="Friday"/>
    <s v="More than 2 hours"/>
    <n v="3"/>
  </r>
  <r>
    <s v="Call_7927"/>
    <s v="C0005"/>
    <n v="56"/>
    <s v="R02"/>
    <d v="2023-08-05T00:00:00"/>
    <n v="152"/>
    <n v="4.5999999999999996"/>
    <n v="2024"/>
    <s v="Saturday"/>
    <s v="30 to 60 mins"/>
    <n v="5"/>
  </r>
  <r>
    <s v="Call_7928"/>
    <s v="C0013"/>
    <n v="132"/>
    <s v="R04"/>
    <d v="2023-08-06T00:00:00"/>
    <n v="195"/>
    <n v="4.9000000000000004"/>
    <n v="2024"/>
    <s v="Sunday"/>
    <s v="More than 2 hours"/>
    <n v="5"/>
  </r>
  <r>
    <s v="Call_7929"/>
    <s v="C0007"/>
    <n v="72"/>
    <s v="R01"/>
    <d v="2023-08-06T00:00:00"/>
    <n v="70"/>
    <n v="3.6"/>
    <n v="2024"/>
    <s v="Sunday"/>
    <s v="1 to 2 hours"/>
    <n v="4"/>
  </r>
  <r>
    <s v="Call_7930"/>
    <s v="C0012"/>
    <n v="18"/>
    <s v="R01"/>
    <d v="2023-08-06T00:00:00"/>
    <n v="22"/>
    <n v="3.5"/>
    <n v="2024"/>
    <s v="Sunday"/>
    <s v="10 to 30 mins"/>
    <n v="4"/>
  </r>
  <r>
    <s v="Call_7931"/>
    <s v="C0011"/>
    <n v="115"/>
    <s v="R03"/>
    <d v="2023-08-07T00:00:00"/>
    <n v="40"/>
    <n v="3.3"/>
    <n v="2024"/>
    <s v="Monday"/>
    <s v="1 to 2 hours"/>
    <n v="3"/>
  </r>
  <r>
    <s v="Call_7932"/>
    <s v="C0011"/>
    <n v="124"/>
    <s v="R02"/>
    <d v="2023-08-08T00:00:00"/>
    <n v="54"/>
    <n v="3.8"/>
    <n v="2024"/>
    <s v="Tuesday"/>
    <s v="More than 2 hours"/>
    <n v="4"/>
  </r>
  <r>
    <s v="Call_7933"/>
    <s v="C0004"/>
    <n v="130"/>
    <s v="R02"/>
    <d v="2023-08-08T00:00:00"/>
    <n v="60"/>
    <n v="2.5"/>
    <n v="2024"/>
    <s v="Tuesday"/>
    <s v="More than 2 hours"/>
    <n v="3"/>
  </r>
  <r>
    <s v="Call_7934"/>
    <s v="C0015"/>
    <n v="120"/>
    <s v="R05"/>
    <d v="2023-08-10T00:00:00"/>
    <n v="58"/>
    <n v="4.5999999999999996"/>
    <n v="2024"/>
    <s v="Thursday"/>
    <s v="1 to 2 hours"/>
    <n v="5"/>
  </r>
  <r>
    <s v="Call_7935"/>
    <s v="C0010"/>
    <n v="75"/>
    <s v="R03"/>
    <d v="2023-08-10T00:00:00"/>
    <n v="220"/>
    <n v="4.7"/>
    <n v="2024"/>
    <s v="Thursday"/>
    <s v="1 to 2 hours"/>
    <n v="5"/>
  </r>
  <r>
    <s v="Call_7936"/>
    <s v="C0003"/>
    <n v="63"/>
    <s v="R03"/>
    <d v="2023-08-10T00:00:00"/>
    <n v="27"/>
    <n v="3.6"/>
    <n v="2024"/>
    <s v="Thursday"/>
    <s v="1 to 2 hours"/>
    <n v="4"/>
  </r>
  <r>
    <s v="Call_7937"/>
    <s v="C0013"/>
    <n v="74"/>
    <s v="R03"/>
    <d v="2023-08-12T00:00:00"/>
    <n v="26"/>
    <n v="4.3"/>
    <n v="2024"/>
    <s v="Saturday"/>
    <s v="1 to 2 hours"/>
    <n v="4"/>
  </r>
  <r>
    <s v="Call_7938"/>
    <s v="C0006"/>
    <n v="134"/>
    <s v="R04"/>
    <d v="2023-08-13T00:00:00"/>
    <n v="160"/>
    <n v="4.7"/>
    <n v="2024"/>
    <s v="Sunday"/>
    <s v="More than 2 hours"/>
    <n v="5"/>
  </r>
  <r>
    <s v="Call_7939"/>
    <s v="C0012"/>
    <n v="103"/>
    <s v="R02"/>
    <d v="2023-08-13T00:00:00"/>
    <n v="200"/>
    <n v="4.9000000000000004"/>
    <n v="2024"/>
    <s v="Sunday"/>
    <s v="1 to 2 hours"/>
    <n v="5"/>
  </r>
  <r>
    <s v="Call_7940"/>
    <s v="C0012"/>
    <n v="155"/>
    <s v="R05"/>
    <d v="2023-08-16T00:00:00"/>
    <n v="135"/>
    <n v="4.9000000000000004"/>
    <n v="2024"/>
    <s v="Wednesday"/>
    <s v="More than 2 hours"/>
    <n v="5"/>
  </r>
  <r>
    <s v="Call_7941"/>
    <s v="C0003"/>
    <n v="128"/>
    <s v="R02"/>
    <d v="2023-08-17T00:00:00"/>
    <n v="22"/>
    <n v="1.9"/>
    <n v="2024"/>
    <s v="Thursday"/>
    <s v="More than 2 hours"/>
    <n v="2"/>
  </r>
  <r>
    <s v="Call_7942"/>
    <s v="C0010"/>
    <n v="89"/>
    <s v="R04"/>
    <d v="2023-08-18T00:00:00"/>
    <n v="164"/>
    <n v="4.5"/>
    <n v="2024"/>
    <s v="Friday"/>
    <s v="1 to 2 hours"/>
    <n v="5"/>
  </r>
  <r>
    <s v="Call_7943"/>
    <s v="C0011"/>
    <n v="81"/>
    <s v="R05"/>
    <d v="2023-08-18T00:00:00"/>
    <n v="21"/>
    <n v="4.9000000000000004"/>
    <n v="2024"/>
    <s v="Friday"/>
    <s v="1 to 2 hours"/>
    <n v="5"/>
  </r>
  <r>
    <s v="Call_7944"/>
    <s v="C0010"/>
    <n v="66"/>
    <s v="R04"/>
    <d v="2023-08-19T00:00:00"/>
    <n v="120"/>
    <n v="4.5"/>
    <n v="2024"/>
    <s v="Saturday"/>
    <s v="1 to 2 hours"/>
    <n v="5"/>
  </r>
  <r>
    <s v="Call_7945"/>
    <s v="C0007"/>
    <n v="61"/>
    <s v="R01"/>
    <d v="2023-08-19T00:00:00"/>
    <n v="93"/>
    <n v="2.7"/>
    <n v="2024"/>
    <s v="Saturday"/>
    <s v="1 to 2 hours"/>
    <n v="3"/>
  </r>
  <r>
    <s v="Call_7946"/>
    <s v="C0011"/>
    <n v="128"/>
    <s v="R01"/>
    <d v="2023-08-19T00:00:00"/>
    <n v="135"/>
    <n v="2.1"/>
    <n v="2024"/>
    <s v="Saturday"/>
    <s v="More than 2 hours"/>
    <n v="2"/>
  </r>
  <r>
    <s v="Call_7947"/>
    <s v="C0012"/>
    <n v="30"/>
    <s v="R05"/>
    <d v="2023-08-19T00:00:00"/>
    <n v="210"/>
    <n v="4.2"/>
    <n v="2024"/>
    <s v="Saturday"/>
    <s v="10 to 30 mins"/>
    <n v="4"/>
  </r>
  <r>
    <s v="Call_7948"/>
    <s v="C0008"/>
    <n v="63"/>
    <s v="R01"/>
    <d v="2023-08-20T00:00:00"/>
    <n v="29"/>
    <n v="4.7"/>
    <n v="2024"/>
    <s v="Sunday"/>
    <s v="1 to 2 hours"/>
    <n v="5"/>
  </r>
  <r>
    <s v="Call_7949"/>
    <s v="C0002"/>
    <n v="64"/>
    <s v="R03"/>
    <d v="2023-08-20T00:00:00"/>
    <n v="111"/>
    <n v="3.9"/>
    <n v="2024"/>
    <s v="Sunday"/>
    <s v="1 to 2 hours"/>
    <n v="4"/>
  </r>
  <r>
    <s v="Call_7950"/>
    <s v="C0014"/>
    <n v="151"/>
    <s v="R02"/>
    <d v="2023-08-21T00:00:00"/>
    <n v="63"/>
    <n v="4.0999999999999996"/>
    <n v="2024"/>
    <s v="Monday"/>
    <s v="More than 2 hours"/>
    <n v="4"/>
  </r>
  <r>
    <s v="Call_7951"/>
    <s v="C0001"/>
    <n v="116"/>
    <s v="R04"/>
    <d v="2023-08-21T00:00:00"/>
    <n v="44"/>
    <n v="3.8"/>
    <n v="2024"/>
    <s v="Monday"/>
    <s v="1 to 2 hours"/>
    <n v="4"/>
  </r>
  <r>
    <s v="Call_7952"/>
    <s v="C0014"/>
    <n v="111"/>
    <s v="R04"/>
    <d v="2023-08-23T00:00:00"/>
    <n v="120"/>
    <n v="1.8"/>
    <n v="2024"/>
    <s v="Wednesday"/>
    <s v="1 to 2 hours"/>
    <n v="2"/>
  </r>
  <r>
    <s v="Call_7953"/>
    <s v="C0011"/>
    <n v="15"/>
    <s v="R04"/>
    <d v="2023-08-23T00:00:00"/>
    <n v="120"/>
    <n v="4.0999999999999996"/>
    <n v="2024"/>
    <s v="Wednesday"/>
    <s v="10 to 30 mins"/>
    <n v="4"/>
  </r>
  <r>
    <s v="Call_7954"/>
    <s v="C0002"/>
    <n v="18"/>
    <s v="R02"/>
    <d v="2023-08-24T00:00:00"/>
    <n v="40"/>
    <n v="4.4000000000000004"/>
    <n v="2024"/>
    <s v="Thursday"/>
    <s v="10 to 30 mins"/>
    <n v="4"/>
  </r>
  <r>
    <s v="Call_7955"/>
    <s v="C0007"/>
    <n v="146"/>
    <s v="R01"/>
    <d v="2023-08-24T00:00:00"/>
    <n v="160"/>
    <n v="4.0999999999999996"/>
    <n v="2024"/>
    <s v="Thursday"/>
    <s v="More than 2 hours"/>
    <n v="4"/>
  </r>
  <r>
    <s v="Call_7956"/>
    <s v="C0012"/>
    <n v="73"/>
    <s v="R04"/>
    <d v="2023-08-25T00:00:00"/>
    <n v="44"/>
    <n v="3.8"/>
    <n v="2024"/>
    <s v="Friday"/>
    <s v="1 to 2 hours"/>
    <n v="4"/>
  </r>
  <r>
    <s v="Call_7957"/>
    <s v="C0014"/>
    <n v="108"/>
    <s v="R02"/>
    <d v="2023-08-25T00:00:00"/>
    <n v="80"/>
    <n v="4.3"/>
    <n v="2024"/>
    <s v="Friday"/>
    <s v="1 to 2 hours"/>
    <n v="4"/>
  </r>
  <r>
    <s v="Call_7958"/>
    <s v="C0006"/>
    <n v="52"/>
    <s v="R02"/>
    <d v="2023-08-26T00:00:00"/>
    <n v="66"/>
    <n v="4.5"/>
    <n v="2024"/>
    <s v="Saturday"/>
    <s v="30 to 60 mins"/>
    <n v="5"/>
  </r>
  <r>
    <s v="Call_7959"/>
    <s v="C0001"/>
    <n v="165"/>
    <s v="R03"/>
    <d v="2023-08-26T00:00:00"/>
    <n v="82"/>
    <n v="3.4"/>
    <n v="2024"/>
    <s v="Saturday"/>
    <s v="More than 2 hours"/>
    <n v="3"/>
  </r>
  <r>
    <s v="Call_7960"/>
    <s v="C0007"/>
    <n v="104"/>
    <s v="R04"/>
    <d v="2023-08-26T00:00:00"/>
    <n v="66"/>
    <n v="4.8"/>
    <n v="2024"/>
    <s v="Saturday"/>
    <s v="1 to 2 hours"/>
    <n v="5"/>
  </r>
  <r>
    <s v="Call_7961"/>
    <s v="C0012"/>
    <n v="131"/>
    <s v="R01"/>
    <d v="2023-08-26T00:00:00"/>
    <n v="92"/>
    <n v="4.9000000000000004"/>
    <n v="2024"/>
    <s v="Saturday"/>
    <s v="More than 2 hours"/>
    <n v="5"/>
  </r>
  <r>
    <s v="Call_7962"/>
    <s v="C0015"/>
    <n v="80"/>
    <s v="R03"/>
    <d v="2023-08-27T00:00:00"/>
    <n v="104"/>
    <n v="4.7"/>
    <n v="2024"/>
    <s v="Sunday"/>
    <s v="1 to 2 hours"/>
    <n v="5"/>
  </r>
  <r>
    <s v="Call_7963"/>
    <s v="C0011"/>
    <n v="49"/>
    <s v="R04"/>
    <d v="2023-08-27T00:00:00"/>
    <n v="105"/>
    <n v="3.3"/>
    <n v="2024"/>
    <s v="Sunday"/>
    <s v="30 to 60 mins"/>
    <n v="3"/>
  </r>
  <r>
    <s v="Call_7964"/>
    <s v="C0001"/>
    <n v="73"/>
    <s v="R04"/>
    <d v="2023-08-27T00:00:00"/>
    <n v="100"/>
    <n v="2.8"/>
    <n v="2024"/>
    <s v="Sunday"/>
    <s v="1 to 2 hours"/>
    <n v="3"/>
  </r>
  <r>
    <s v="Call_7965"/>
    <s v="C0007"/>
    <n v="117"/>
    <s v="R03"/>
    <d v="2023-08-27T00:00:00"/>
    <n v="90"/>
    <n v="4.0999999999999996"/>
    <n v="2024"/>
    <s v="Sunday"/>
    <s v="1 to 2 hours"/>
    <n v="4"/>
  </r>
  <r>
    <s v="Call_7966"/>
    <s v="C0005"/>
    <n v="38"/>
    <s v="R05"/>
    <d v="2023-08-27T00:00:00"/>
    <n v="110"/>
    <n v="3.5"/>
    <n v="2024"/>
    <s v="Sunday"/>
    <s v="30 to 60 mins"/>
    <n v="4"/>
  </r>
  <r>
    <s v="Call_7967"/>
    <s v="C0006"/>
    <n v="109"/>
    <s v="R03"/>
    <d v="2023-08-29T00:00:00"/>
    <n v="68"/>
    <n v="2.2999999999999998"/>
    <n v="2024"/>
    <s v="Tuesday"/>
    <s v="1 to 2 hours"/>
    <n v="2"/>
  </r>
  <r>
    <s v="Call_7968"/>
    <s v="C0011"/>
    <n v="70"/>
    <s v="R02"/>
    <d v="2023-08-30T00:00:00"/>
    <n v="210"/>
    <n v="4.0999999999999996"/>
    <n v="2024"/>
    <s v="Wednesday"/>
    <s v="1 to 2 hours"/>
    <n v="4"/>
  </r>
  <r>
    <s v="Call_7969"/>
    <s v="C0004"/>
    <n v="51"/>
    <s v="R05"/>
    <d v="2023-08-30T00:00:00"/>
    <n v="111"/>
    <n v="4.3"/>
    <n v="2024"/>
    <s v="Wednesday"/>
    <s v="30 to 60 mins"/>
    <n v="4"/>
  </r>
  <r>
    <s v="Call_7970"/>
    <s v="C0004"/>
    <n v="100"/>
    <s v="R02"/>
    <d v="2023-08-31T00:00:00"/>
    <n v="45"/>
    <n v="4.9000000000000004"/>
    <n v="2024"/>
    <s v="Thursday"/>
    <s v="1 to 2 hours"/>
    <n v="5"/>
  </r>
  <r>
    <s v="Call_7971"/>
    <s v="C0013"/>
    <n v="124"/>
    <s v="R05"/>
    <d v="2023-09-01T00:00:00"/>
    <n v="132"/>
    <n v="4"/>
    <n v="2024"/>
    <s v="Friday"/>
    <s v="More than 2 hours"/>
    <n v="4"/>
  </r>
  <r>
    <s v="Call_7972"/>
    <s v="C0003"/>
    <n v="143"/>
    <s v="R03"/>
    <d v="2023-09-01T00:00:00"/>
    <n v="20"/>
    <n v="4.7"/>
    <n v="2024"/>
    <s v="Friday"/>
    <s v="More than 2 hours"/>
    <n v="5"/>
  </r>
  <r>
    <s v="Call_7973"/>
    <s v="C0010"/>
    <n v="96"/>
    <s v="R04"/>
    <d v="2023-09-01T00:00:00"/>
    <n v="36"/>
    <n v="3.4"/>
    <n v="2024"/>
    <s v="Friday"/>
    <s v="1 to 2 hours"/>
    <n v="3"/>
  </r>
  <r>
    <s v="Call_7974"/>
    <s v="C0001"/>
    <n v="84"/>
    <s v="R02"/>
    <d v="2023-09-03T00:00:00"/>
    <n v="72"/>
    <n v="4"/>
    <n v="2024"/>
    <s v="Sunday"/>
    <s v="1 to 2 hours"/>
    <n v="4"/>
  </r>
  <r>
    <s v="Call_7975"/>
    <s v="C0009"/>
    <n v="111"/>
    <s v="R02"/>
    <d v="2023-09-03T00:00:00"/>
    <n v="63"/>
    <n v="4.5"/>
    <n v="2024"/>
    <s v="Sunday"/>
    <s v="1 to 2 hours"/>
    <n v="5"/>
  </r>
  <r>
    <s v="Call_7976"/>
    <s v="C0009"/>
    <n v="103"/>
    <s v="R05"/>
    <d v="2023-09-04T00:00:00"/>
    <n v="44"/>
    <n v="4.5"/>
    <n v="2024"/>
    <s v="Monday"/>
    <s v="1 to 2 hours"/>
    <n v="5"/>
  </r>
  <r>
    <s v="Call_7977"/>
    <s v="C0003"/>
    <n v="61"/>
    <s v="R01"/>
    <d v="2023-09-04T00:00:00"/>
    <n v="132"/>
    <n v="4.9000000000000004"/>
    <n v="2024"/>
    <s v="Monday"/>
    <s v="1 to 2 hours"/>
    <n v="5"/>
  </r>
  <r>
    <s v="Call_7978"/>
    <s v="C0012"/>
    <n v="113"/>
    <s v="R04"/>
    <d v="2023-09-04T00:00:00"/>
    <n v="46"/>
    <n v="4.4000000000000004"/>
    <n v="2024"/>
    <s v="Monday"/>
    <s v="1 to 2 hours"/>
    <n v="4"/>
  </r>
  <r>
    <s v="Call_7979"/>
    <s v="C0012"/>
    <n v="96"/>
    <s v="R04"/>
    <d v="2023-09-04T00:00:00"/>
    <n v="96"/>
    <n v="2.9"/>
    <n v="2024"/>
    <s v="Monday"/>
    <s v="1 to 2 hours"/>
    <n v="3"/>
  </r>
  <r>
    <s v="Call_7980"/>
    <s v="C0002"/>
    <n v="131"/>
    <s v="R05"/>
    <d v="2023-09-05T00:00:00"/>
    <n v="75"/>
    <n v="4.4000000000000004"/>
    <n v="2024"/>
    <s v="Tuesday"/>
    <s v="More than 2 hours"/>
    <n v="4"/>
  </r>
  <r>
    <s v="Call_7981"/>
    <s v="C0007"/>
    <n v="52"/>
    <s v="R04"/>
    <d v="2023-09-06T00:00:00"/>
    <n v="88"/>
    <n v="4.3"/>
    <n v="2024"/>
    <s v="Wednesday"/>
    <s v="30 to 60 mins"/>
    <n v="4"/>
  </r>
  <r>
    <s v="Call_7982"/>
    <s v="C0004"/>
    <n v="100"/>
    <s v="R05"/>
    <d v="2023-09-06T00:00:00"/>
    <n v="24"/>
    <n v="4.7"/>
    <n v="2024"/>
    <s v="Wednesday"/>
    <s v="1 to 2 hours"/>
    <n v="5"/>
  </r>
  <r>
    <s v="Call_7983"/>
    <s v="C0014"/>
    <n v="58"/>
    <s v="R03"/>
    <d v="2023-09-06T00:00:00"/>
    <n v="96"/>
    <n v="3.2"/>
    <n v="2024"/>
    <s v="Wednesday"/>
    <s v="30 to 60 mins"/>
    <n v="3"/>
  </r>
  <r>
    <s v="Call_7984"/>
    <s v="C0011"/>
    <n v="144"/>
    <s v="R03"/>
    <d v="2023-09-07T00:00:00"/>
    <n v="124"/>
    <n v="2.2999999999999998"/>
    <n v="2024"/>
    <s v="Thursday"/>
    <s v="More than 2 hours"/>
    <n v="2"/>
  </r>
  <r>
    <s v="Call_7985"/>
    <s v="C0014"/>
    <n v="53"/>
    <s v="R01"/>
    <d v="2023-09-08T00:00:00"/>
    <n v="130"/>
    <n v="3.6"/>
    <n v="2024"/>
    <s v="Friday"/>
    <s v="30 to 60 mins"/>
    <n v="4"/>
  </r>
  <r>
    <s v="Call_7986"/>
    <s v="C0012"/>
    <n v="97"/>
    <s v="R02"/>
    <d v="2023-09-08T00:00:00"/>
    <n v="45"/>
    <n v="4.5999999999999996"/>
    <n v="2024"/>
    <s v="Friday"/>
    <s v="1 to 2 hours"/>
    <n v="5"/>
  </r>
  <r>
    <s v="Call_7987"/>
    <s v="C0005"/>
    <n v="64"/>
    <s v="R03"/>
    <d v="2023-09-08T00:00:00"/>
    <n v="66"/>
    <n v="4"/>
    <n v="2024"/>
    <s v="Friday"/>
    <s v="1 to 2 hours"/>
    <n v="4"/>
  </r>
  <r>
    <s v="Call_7988"/>
    <s v="C0003"/>
    <n v="106"/>
    <s v="R05"/>
    <d v="2023-09-08T00:00:00"/>
    <n v="58"/>
    <n v="4.7"/>
    <n v="2024"/>
    <s v="Friday"/>
    <s v="1 to 2 hours"/>
    <n v="5"/>
  </r>
  <r>
    <s v="Call_7989"/>
    <s v="C0001"/>
    <n v="36"/>
    <s v="R03"/>
    <d v="2023-09-09T00:00:00"/>
    <n v="152"/>
    <n v="4.3"/>
    <n v="2024"/>
    <s v="Saturday"/>
    <s v="30 to 60 mins"/>
    <n v="4"/>
  </r>
  <r>
    <s v="Call_7990"/>
    <s v="C0011"/>
    <n v="74"/>
    <s v="R04"/>
    <d v="2023-09-09T00:00:00"/>
    <n v="75"/>
    <n v="2.8"/>
    <n v="2024"/>
    <s v="Saturday"/>
    <s v="1 to 2 hours"/>
    <n v="3"/>
  </r>
  <r>
    <s v="Call_7991"/>
    <s v="C0006"/>
    <n v="143"/>
    <s v="R02"/>
    <d v="2023-09-09T00:00:00"/>
    <n v="78"/>
    <n v="4"/>
    <n v="2024"/>
    <s v="Saturday"/>
    <s v="More than 2 hours"/>
    <n v="4"/>
  </r>
  <r>
    <s v="Call_7992"/>
    <s v="C0003"/>
    <n v="94"/>
    <s v="R01"/>
    <d v="2023-09-09T00:00:00"/>
    <n v="69"/>
    <n v="3.9"/>
    <n v="2024"/>
    <s v="Saturday"/>
    <s v="1 to 2 hours"/>
    <n v="4"/>
  </r>
  <r>
    <s v="Call_7993"/>
    <s v="C0015"/>
    <n v="124"/>
    <s v="R05"/>
    <d v="2023-09-10T00:00:00"/>
    <n v="46"/>
    <n v="3.1"/>
    <n v="2024"/>
    <s v="Sunday"/>
    <s v="More than 2 hours"/>
    <n v="3"/>
  </r>
  <r>
    <s v="Call_7994"/>
    <s v="C0001"/>
    <n v="156"/>
    <s v="R03"/>
    <d v="2023-09-10T00:00:00"/>
    <n v="64"/>
    <n v="2.7"/>
    <n v="2024"/>
    <s v="Sunday"/>
    <s v="More than 2 hours"/>
    <n v="3"/>
  </r>
  <r>
    <s v="Call_7995"/>
    <s v="C0010"/>
    <n v="107"/>
    <s v="R02"/>
    <d v="2023-09-10T00:00:00"/>
    <n v="38"/>
    <n v="4.7"/>
    <n v="2024"/>
    <s v="Sunday"/>
    <s v="1 to 2 hours"/>
    <n v="5"/>
  </r>
  <r>
    <s v="Call_7996"/>
    <s v="C0003"/>
    <n v="58"/>
    <s v="R02"/>
    <d v="2023-09-12T00:00:00"/>
    <n v="90"/>
    <n v="4.3"/>
    <n v="2024"/>
    <s v="Tuesday"/>
    <s v="30 to 60 mins"/>
    <n v="4"/>
  </r>
  <r>
    <s v="Call_7997"/>
    <s v="C0013"/>
    <n v="66"/>
    <s v="R02"/>
    <d v="2023-09-12T00:00:00"/>
    <n v="32"/>
    <n v="3.8"/>
    <n v="2024"/>
    <s v="Tuesday"/>
    <s v="1 to 2 hours"/>
    <n v="4"/>
  </r>
  <r>
    <s v="Call_7998"/>
    <s v="C0002"/>
    <n v="75"/>
    <s v="R03"/>
    <d v="2023-09-12T00:00:00"/>
    <n v="120"/>
    <n v="4.4000000000000004"/>
    <n v="2024"/>
    <s v="Tuesday"/>
    <s v="1 to 2 hours"/>
    <n v="4"/>
  </r>
  <r>
    <s v="Call_7999"/>
    <s v="C0010"/>
    <n v="8"/>
    <s v="R02"/>
    <d v="2023-09-12T00:00:00"/>
    <n v="31"/>
    <n v="3.9"/>
    <n v="2024"/>
    <s v="Tuesday"/>
    <s v="Under 10 mins"/>
    <n v="4"/>
  </r>
  <r>
    <s v="Call_8000"/>
    <s v="C0005"/>
    <n v="76"/>
    <s v="R03"/>
    <d v="2023-09-13T00:00:00"/>
    <n v="108"/>
    <n v="4.9000000000000004"/>
    <n v="2024"/>
    <s v="Wednesday"/>
    <s v="1 to 2 hours"/>
    <n v="5"/>
  </r>
  <r>
    <s v="Call_8001"/>
    <s v="C0003"/>
    <n v="110"/>
    <s v="R03"/>
    <d v="2023-09-13T00:00:00"/>
    <n v="180"/>
    <n v="4.2"/>
    <n v="2024"/>
    <s v="Wednesday"/>
    <s v="1 to 2 hours"/>
    <n v="4"/>
  </r>
  <r>
    <s v="Call_8002"/>
    <s v="C0013"/>
    <n v="50"/>
    <s v="R01"/>
    <d v="2023-09-14T00:00:00"/>
    <n v="124"/>
    <n v="4"/>
    <n v="2024"/>
    <s v="Thursday"/>
    <s v="30 to 60 mins"/>
    <n v="4"/>
  </r>
  <r>
    <s v="Call_8003"/>
    <s v="C0007"/>
    <n v="78"/>
    <s v="R01"/>
    <d v="2023-09-14T00:00:00"/>
    <n v="23"/>
    <n v="4.2"/>
    <n v="2024"/>
    <s v="Thursday"/>
    <s v="1 to 2 hours"/>
    <n v="4"/>
  </r>
  <r>
    <s v="Call_8004"/>
    <s v="C0012"/>
    <n v="59"/>
    <s v="R05"/>
    <d v="2023-09-15T00:00:00"/>
    <n v="24"/>
    <n v="4.8"/>
    <n v="2024"/>
    <s v="Friday"/>
    <s v="30 to 60 mins"/>
    <n v="5"/>
  </r>
  <r>
    <s v="Call_8005"/>
    <s v="C0007"/>
    <n v="126"/>
    <s v="R02"/>
    <d v="2023-09-16T00:00:00"/>
    <n v="52"/>
    <n v="1.1000000000000001"/>
    <n v="2024"/>
    <s v="Saturday"/>
    <s v="More than 2 hours"/>
    <n v="1"/>
  </r>
  <r>
    <s v="Call_8006"/>
    <s v="C0005"/>
    <n v="43"/>
    <s v="R05"/>
    <d v="2023-09-17T00:00:00"/>
    <n v="168"/>
    <n v="4"/>
    <n v="2024"/>
    <s v="Sunday"/>
    <s v="30 to 60 mins"/>
    <n v="4"/>
  </r>
  <r>
    <s v="Call_8007"/>
    <s v="C0001"/>
    <n v="79"/>
    <s v="R03"/>
    <d v="2023-09-19T00:00:00"/>
    <n v="125"/>
    <n v="4.8"/>
    <n v="2024"/>
    <s v="Tuesday"/>
    <s v="1 to 2 hours"/>
    <n v="5"/>
  </r>
  <r>
    <s v="Call_8008"/>
    <s v="C0003"/>
    <n v="71"/>
    <s v="R05"/>
    <d v="2023-09-20T00:00:00"/>
    <n v="50"/>
    <n v="4.2"/>
    <n v="2024"/>
    <s v="Wednesday"/>
    <s v="1 to 2 hours"/>
    <n v="4"/>
  </r>
  <r>
    <s v="Call_8009"/>
    <s v="C0009"/>
    <n v="94"/>
    <s v="R02"/>
    <d v="2023-09-21T00:00:00"/>
    <n v="220"/>
    <n v="4.5999999999999996"/>
    <n v="2024"/>
    <s v="Thursday"/>
    <s v="1 to 2 hours"/>
    <n v="5"/>
  </r>
  <r>
    <s v="Call_8010"/>
    <s v="C0010"/>
    <n v="108"/>
    <s v="R05"/>
    <d v="2023-09-21T00:00:00"/>
    <n v="180"/>
    <n v="4"/>
    <n v="2024"/>
    <s v="Thursday"/>
    <s v="1 to 2 hours"/>
    <n v="4"/>
  </r>
  <r>
    <s v="Call_8011"/>
    <s v="C0005"/>
    <n v="76"/>
    <s v="R02"/>
    <d v="2023-09-21T00:00:00"/>
    <n v="110"/>
    <n v="3.9"/>
    <n v="2024"/>
    <s v="Thursday"/>
    <s v="1 to 2 hours"/>
    <n v="4"/>
  </r>
  <r>
    <s v="Call_8012"/>
    <s v="C0012"/>
    <n v="136"/>
    <s v="R05"/>
    <d v="2023-09-21T00:00:00"/>
    <n v="36"/>
    <n v="2.8"/>
    <n v="2024"/>
    <s v="Thursday"/>
    <s v="More than 2 hours"/>
    <n v="3"/>
  </r>
  <r>
    <s v="Call_8013"/>
    <s v="C0004"/>
    <n v="129"/>
    <s v="R01"/>
    <d v="2023-09-22T00:00:00"/>
    <n v="93"/>
    <n v="4.7"/>
    <n v="2024"/>
    <s v="Friday"/>
    <s v="More than 2 hours"/>
    <n v="5"/>
  </r>
  <r>
    <s v="Call_8014"/>
    <s v="C0010"/>
    <n v="120"/>
    <s v="R05"/>
    <d v="2023-09-22T00:00:00"/>
    <n v="38"/>
    <n v="4.2"/>
    <n v="2024"/>
    <s v="Friday"/>
    <s v="1 to 2 hours"/>
    <n v="4"/>
  </r>
  <r>
    <s v="Call_8015"/>
    <s v="C0005"/>
    <n v="108"/>
    <s v="R01"/>
    <d v="2023-09-23T00:00:00"/>
    <n v="66"/>
    <n v="3.9"/>
    <n v="2024"/>
    <s v="Saturday"/>
    <s v="1 to 2 hours"/>
    <n v="4"/>
  </r>
  <r>
    <s v="Call_8016"/>
    <s v="C0007"/>
    <n v="79"/>
    <s v="R05"/>
    <d v="2023-09-23T00:00:00"/>
    <n v="215"/>
    <n v="4.5999999999999996"/>
    <n v="2024"/>
    <s v="Saturday"/>
    <s v="1 to 2 hours"/>
    <n v="5"/>
  </r>
  <r>
    <s v="Call_8017"/>
    <s v="C0007"/>
    <n v="45"/>
    <s v="R01"/>
    <d v="2023-09-23T00:00:00"/>
    <n v="92"/>
    <n v="4.3"/>
    <n v="2024"/>
    <s v="Saturday"/>
    <s v="30 to 60 mins"/>
    <n v="4"/>
  </r>
  <r>
    <s v="Call_8018"/>
    <s v="C0011"/>
    <n v="96"/>
    <s v="R05"/>
    <d v="2023-09-23T00:00:00"/>
    <n v="80"/>
    <n v="3.6"/>
    <n v="2024"/>
    <s v="Saturday"/>
    <s v="1 to 2 hours"/>
    <n v="4"/>
  </r>
  <r>
    <s v="Call_8019"/>
    <s v="C0011"/>
    <n v="81"/>
    <s v="R05"/>
    <d v="2023-09-24T00:00:00"/>
    <n v="123"/>
    <n v="4.9000000000000004"/>
    <n v="2024"/>
    <s v="Sunday"/>
    <s v="1 to 2 hours"/>
    <n v="5"/>
  </r>
  <r>
    <s v="Call_8020"/>
    <s v="C0012"/>
    <n v="95"/>
    <s v="R04"/>
    <d v="2023-09-24T00:00:00"/>
    <n v="23"/>
    <n v="2.4"/>
    <n v="2024"/>
    <s v="Sunday"/>
    <s v="1 to 2 hours"/>
    <n v="2"/>
  </r>
  <r>
    <s v="Call_8021"/>
    <s v="C0015"/>
    <n v="159"/>
    <s v="R02"/>
    <d v="2023-09-24T00:00:00"/>
    <n v="63"/>
    <n v="4.2"/>
    <n v="2024"/>
    <s v="Sunday"/>
    <s v="More than 2 hours"/>
    <n v="4"/>
  </r>
  <r>
    <s v="Call_8022"/>
    <s v="C0008"/>
    <n v="109"/>
    <s v="R03"/>
    <d v="2023-09-24T00:00:00"/>
    <n v="52"/>
    <n v="3.9"/>
    <n v="2024"/>
    <s v="Sunday"/>
    <s v="1 to 2 hours"/>
    <n v="4"/>
  </r>
  <r>
    <s v="Call_8023"/>
    <s v="C0007"/>
    <n v="107"/>
    <s v="R03"/>
    <d v="2023-09-24T00:00:00"/>
    <n v="60"/>
    <n v="4.2"/>
    <n v="2024"/>
    <s v="Sunday"/>
    <s v="1 to 2 hours"/>
    <n v="4"/>
  </r>
  <r>
    <s v="Call_8024"/>
    <s v="C0011"/>
    <n v="67"/>
    <s v="R01"/>
    <d v="2023-09-25T00:00:00"/>
    <n v="87"/>
    <n v="3.9"/>
    <n v="2024"/>
    <s v="Monday"/>
    <s v="1 to 2 hours"/>
    <n v="4"/>
  </r>
  <r>
    <s v="Call_8025"/>
    <s v="C0002"/>
    <n v="96"/>
    <s v="R05"/>
    <d v="2023-09-26T00:00:00"/>
    <n v="42"/>
    <n v="4.5"/>
    <n v="2024"/>
    <s v="Tuesday"/>
    <s v="1 to 2 hours"/>
    <n v="5"/>
  </r>
  <r>
    <s v="Call_8026"/>
    <s v="C0006"/>
    <n v="142"/>
    <s v="R02"/>
    <d v="2023-09-27T00:00:00"/>
    <n v="37"/>
    <n v="3.8"/>
    <n v="2024"/>
    <s v="Wednesday"/>
    <s v="More than 2 hours"/>
    <n v="4"/>
  </r>
  <r>
    <s v="Call_8027"/>
    <s v="C0006"/>
    <n v="71"/>
    <s v="R04"/>
    <d v="2023-09-27T00:00:00"/>
    <n v="135"/>
    <n v="3.9"/>
    <n v="2024"/>
    <s v="Wednesday"/>
    <s v="1 to 2 hours"/>
    <n v="4"/>
  </r>
  <r>
    <s v="Call_8028"/>
    <s v="C0002"/>
    <n v="152"/>
    <s v="R04"/>
    <d v="2023-09-27T00:00:00"/>
    <n v="88"/>
    <n v="4.7"/>
    <n v="2024"/>
    <s v="Wednesday"/>
    <s v="More than 2 hours"/>
    <n v="5"/>
  </r>
  <r>
    <s v="Call_8029"/>
    <s v="C0001"/>
    <n v="108"/>
    <s v="R02"/>
    <d v="2023-09-27T00:00:00"/>
    <n v="190"/>
    <n v="3.2"/>
    <n v="2024"/>
    <s v="Wednesday"/>
    <s v="1 to 2 hours"/>
    <n v="3"/>
  </r>
  <r>
    <s v="Call_8030"/>
    <s v="C0001"/>
    <n v="156"/>
    <s v="R04"/>
    <d v="2023-09-27T00:00:00"/>
    <n v="81"/>
    <n v="5"/>
    <n v="2024"/>
    <s v="Wednesday"/>
    <s v="More than 2 hours"/>
    <n v="5"/>
  </r>
  <r>
    <s v="Call_8031"/>
    <s v="C0006"/>
    <n v="126"/>
    <s v="R02"/>
    <d v="2023-09-27T00:00:00"/>
    <n v="44"/>
    <n v="3.7"/>
    <n v="2024"/>
    <s v="Wednesday"/>
    <s v="More than 2 hours"/>
    <n v="4"/>
  </r>
  <r>
    <s v="Call_8032"/>
    <s v="C0005"/>
    <n v="135"/>
    <s v="R04"/>
    <d v="2023-09-28T00:00:00"/>
    <n v="92"/>
    <n v="3.9"/>
    <n v="2024"/>
    <s v="Thursday"/>
    <s v="More than 2 hours"/>
    <n v="4"/>
  </r>
  <r>
    <s v="Call_8033"/>
    <s v="C0006"/>
    <n v="110"/>
    <s v="R05"/>
    <d v="2023-09-29T00:00:00"/>
    <n v="90"/>
    <n v="3.1"/>
    <n v="2024"/>
    <s v="Friday"/>
    <s v="1 to 2 hours"/>
    <n v="3"/>
  </r>
  <r>
    <s v="Call_8034"/>
    <s v="C0015"/>
    <n v="64"/>
    <s v="R04"/>
    <d v="2023-09-29T00:00:00"/>
    <n v="112"/>
    <n v="2"/>
    <n v="2024"/>
    <s v="Friday"/>
    <s v="1 to 2 hours"/>
    <n v="2"/>
  </r>
  <r>
    <s v="Call_8035"/>
    <s v="C0009"/>
    <n v="127"/>
    <s v="R02"/>
    <d v="2023-09-29T00:00:00"/>
    <n v="112"/>
    <n v="4.5999999999999996"/>
    <n v="2024"/>
    <s v="Friday"/>
    <s v="More than 2 hours"/>
    <n v="5"/>
  </r>
  <r>
    <s v="Call_8036"/>
    <s v="C0008"/>
    <n v="124"/>
    <s v="R01"/>
    <d v="2023-09-29T00:00:00"/>
    <n v="48"/>
    <n v="3.7"/>
    <n v="2024"/>
    <s v="Friday"/>
    <s v="More than 2 hours"/>
    <n v="4"/>
  </r>
  <r>
    <s v="Call_8037"/>
    <s v="C0015"/>
    <n v="125"/>
    <s v="R02"/>
    <d v="2023-09-29T00:00:00"/>
    <n v="116"/>
    <n v="4.4000000000000004"/>
    <n v="2024"/>
    <s v="Friday"/>
    <s v="More than 2 hours"/>
    <n v="4"/>
  </r>
  <r>
    <s v="Call_8038"/>
    <s v="C0004"/>
    <n v="70"/>
    <s v="R02"/>
    <d v="2023-09-29T00:00:00"/>
    <n v="29"/>
    <n v="2.1"/>
    <n v="2024"/>
    <s v="Friday"/>
    <s v="1 to 2 hours"/>
    <n v="2"/>
  </r>
  <r>
    <s v="Call_8039"/>
    <s v="C0009"/>
    <n v="93"/>
    <s v="R04"/>
    <d v="2023-09-30T00:00:00"/>
    <n v="170"/>
    <n v="2.2000000000000002"/>
    <n v="2024"/>
    <s v="Saturday"/>
    <s v="1 to 2 hours"/>
    <n v="2"/>
  </r>
  <r>
    <s v="Call_8040"/>
    <s v="C0004"/>
    <n v="120"/>
    <s v="R03"/>
    <d v="2023-09-30T00:00:00"/>
    <n v="68"/>
    <n v="3.4"/>
    <n v="2024"/>
    <s v="Saturday"/>
    <s v="1 to 2 hours"/>
    <n v="3"/>
  </r>
  <r>
    <s v="Call_8041"/>
    <s v="C0011"/>
    <n v="96"/>
    <s v="R05"/>
    <d v="2023-09-30T00:00:00"/>
    <n v="195"/>
    <n v="2.7"/>
    <n v="2024"/>
    <s v="Saturday"/>
    <s v="1 to 2 hours"/>
    <n v="3"/>
  </r>
  <r>
    <s v="Call_8042"/>
    <s v="C0014"/>
    <n v="67"/>
    <s v="R05"/>
    <d v="2023-09-30T00:00:00"/>
    <n v="96"/>
    <n v="3.7"/>
    <n v="2024"/>
    <s v="Saturday"/>
    <s v="1 to 2 hours"/>
    <n v="4"/>
  </r>
  <r>
    <s v="Call_8043"/>
    <s v="C0015"/>
    <n v="119"/>
    <s v="R05"/>
    <d v="2023-09-30T00:00:00"/>
    <n v="96"/>
    <n v="3.1"/>
    <n v="2024"/>
    <s v="Saturday"/>
    <s v="1 to 2 hours"/>
    <n v="3"/>
  </r>
  <r>
    <s v="Call_8044"/>
    <s v="C0008"/>
    <n v="61"/>
    <s v="R01"/>
    <d v="2023-09-30T00:00:00"/>
    <n v="117"/>
    <n v="4.0999999999999996"/>
    <n v="2024"/>
    <s v="Saturday"/>
    <s v="1 to 2 hours"/>
    <n v="4"/>
  </r>
  <r>
    <s v="Call_8045"/>
    <s v="C0011"/>
    <n v="29"/>
    <s v="R04"/>
    <d v="2023-09-30T00:00:00"/>
    <n v="80"/>
    <n v="4.8"/>
    <n v="2024"/>
    <s v="Saturday"/>
    <s v="10 to 30 mins"/>
    <n v="5"/>
  </r>
  <r>
    <s v="Call_8046"/>
    <s v="C0002"/>
    <n v="134"/>
    <s v="R03"/>
    <d v="2023-09-30T00:00:00"/>
    <n v="117"/>
    <n v="4"/>
    <n v="2024"/>
    <s v="Saturday"/>
    <s v="More than 2 hours"/>
    <n v="4"/>
  </r>
  <r>
    <s v="Call_8047"/>
    <s v="C0006"/>
    <n v="113"/>
    <s v="R05"/>
    <d v="2023-10-01T00:00:00"/>
    <n v="40"/>
    <n v="3"/>
    <n v="2024"/>
    <s v="Sunday"/>
    <s v="1 to 2 hours"/>
    <n v="3"/>
  </r>
  <r>
    <s v="Call_8048"/>
    <s v="C0001"/>
    <n v="12"/>
    <s v="R03"/>
    <d v="2023-10-01T00:00:00"/>
    <n v="117"/>
    <n v="4.8"/>
    <n v="2024"/>
    <s v="Sunday"/>
    <s v="10 to 30 mins"/>
    <n v="5"/>
  </r>
  <r>
    <s v="Call_8049"/>
    <s v="C0013"/>
    <n v="78"/>
    <s v="R04"/>
    <d v="2023-10-01T00:00:00"/>
    <n v="135"/>
    <n v="4.0999999999999996"/>
    <n v="2024"/>
    <s v="Sunday"/>
    <s v="1 to 2 hours"/>
    <n v="4"/>
  </r>
  <r>
    <s v="Call_8050"/>
    <s v="C0015"/>
    <n v="82"/>
    <s v="R02"/>
    <d v="2023-10-01T00:00:00"/>
    <n v="99"/>
    <n v="4.2"/>
    <n v="2024"/>
    <s v="Sunday"/>
    <s v="1 to 2 hours"/>
    <n v="4"/>
  </r>
  <r>
    <s v="Call_8051"/>
    <s v="C0010"/>
    <n v="149"/>
    <s v="R01"/>
    <d v="2023-10-01T00:00:00"/>
    <n v="130"/>
    <n v="3.3"/>
    <n v="2024"/>
    <s v="Sunday"/>
    <s v="More than 2 hours"/>
    <n v="3"/>
  </r>
  <r>
    <s v="Call_8052"/>
    <s v="C0007"/>
    <n v="56"/>
    <s v="R03"/>
    <d v="2023-10-01T00:00:00"/>
    <n v="96"/>
    <n v="4.7"/>
    <n v="2024"/>
    <s v="Sunday"/>
    <s v="30 to 60 mins"/>
    <n v="5"/>
  </r>
  <r>
    <s v="Call_8053"/>
    <s v="C0011"/>
    <n v="80"/>
    <s v="R01"/>
    <d v="2023-10-01T00:00:00"/>
    <n v="128"/>
    <n v="3.7"/>
    <n v="2024"/>
    <s v="Sunday"/>
    <s v="1 to 2 hours"/>
    <n v="4"/>
  </r>
  <r>
    <s v="Call_8054"/>
    <s v="C0008"/>
    <n v="131"/>
    <s v="R05"/>
    <d v="2023-10-01T00:00:00"/>
    <n v="69"/>
    <n v="4.7"/>
    <n v="2024"/>
    <s v="Sunday"/>
    <s v="More than 2 hours"/>
    <n v="5"/>
  </r>
  <r>
    <s v="Call_8055"/>
    <s v="C0008"/>
    <n v="109"/>
    <s v="R05"/>
    <d v="2023-10-01T00:00:00"/>
    <n v="44"/>
    <n v="4.5999999999999996"/>
    <n v="2024"/>
    <s v="Sunday"/>
    <s v="1 to 2 hours"/>
    <n v="5"/>
  </r>
  <r>
    <s v="Call_8056"/>
    <s v="C0007"/>
    <n v="142"/>
    <s v="R05"/>
    <d v="2023-10-01T00:00:00"/>
    <n v="44"/>
    <n v="4.8"/>
    <n v="2024"/>
    <s v="Sunday"/>
    <s v="More than 2 hours"/>
    <n v="5"/>
  </r>
  <r>
    <s v="Call_8057"/>
    <s v="C0009"/>
    <n v="114"/>
    <s v="R03"/>
    <d v="2023-10-02T00:00:00"/>
    <n v="135"/>
    <n v="2"/>
    <n v="2024"/>
    <s v="Monday"/>
    <s v="1 to 2 hours"/>
    <n v="2"/>
  </r>
  <r>
    <s v="Call_8058"/>
    <s v="C0014"/>
    <n v="93"/>
    <s v="R01"/>
    <d v="2023-10-02T00:00:00"/>
    <n v="45"/>
    <n v="3.9"/>
    <n v="2024"/>
    <s v="Monday"/>
    <s v="1 to 2 hours"/>
    <n v="4"/>
  </r>
  <r>
    <s v="Call_8059"/>
    <s v="C0001"/>
    <n v="43"/>
    <s v="R01"/>
    <d v="2023-10-02T00:00:00"/>
    <n v="87"/>
    <n v="3"/>
    <n v="2024"/>
    <s v="Monday"/>
    <s v="30 to 60 mins"/>
    <n v="3"/>
  </r>
  <r>
    <s v="Call_8060"/>
    <s v="C0002"/>
    <n v="78"/>
    <s v="R04"/>
    <d v="2023-10-03T00:00:00"/>
    <n v="84"/>
    <n v="4.5999999999999996"/>
    <n v="2024"/>
    <s v="Tuesday"/>
    <s v="1 to 2 hours"/>
    <n v="5"/>
  </r>
  <r>
    <s v="Call_8061"/>
    <s v="C0009"/>
    <n v="89"/>
    <s v="R05"/>
    <d v="2023-10-03T00:00:00"/>
    <n v="81"/>
    <n v="3.8"/>
    <n v="2024"/>
    <s v="Tuesday"/>
    <s v="1 to 2 hours"/>
    <n v="4"/>
  </r>
  <r>
    <s v="Call_8062"/>
    <s v="C0007"/>
    <n v="82"/>
    <s v="R02"/>
    <d v="2023-10-03T00:00:00"/>
    <n v="130"/>
    <n v="4.4000000000000004"/>
    <n v="2024"/>
    <s v="Tuesday"/>
    <s v="1 to 2 hours"/>
    <n v="4"/>
  </r>
  <r>
    <s v="Call_8063"/>
    <s v="C0011"/>
    <n v="86"/>
    <s v="R05"/>
    <d v="2023-10-04T00:00:00"/>
    <n v="92"/>
    <n v="2.4"/>
    <n v="2024"/>
    <s v="Wednesday"/>
    <s v="1 to 2 hours"/>
    <n v="2"/>
  </r>
  <r>
    <s v="Call_8064"/>
    <s v="C0012"/>
    <n v="57"/>
    <s v="R04"/>
    <d v="2023-10-04T00:00:00"/>
    <n v="48"/>
    <n v="4.5"/>
    <n v="2024"/>
    <s v="Wednesday"/>
    <s v="30 to 60 mins"/>
    <n v="5"/>
  </r>
  <r>
    <s v="Call_8065"/>
    <s v="C0014"/>
    <n v="103"/>
    <s v="R03"/>
    <d v="2023-10-04T00:00:00"/>
    <n v="160"/>
    <n v="4.5"/>
    <n v="2024"/>
    <s v="Wednesday"/>
    <s v="1 to 2 hours"/>
    <n v="5"/>
  </r>
  <r>
    <s v="Call_8066"/>
    <s v="C0013"/>
    <n v="138"/>
    <s v="R04"/>
    <d v="2023-10-05T00:00:00"/>
    <n v="155"/>
    <n v="2.7"/>
    <n v="2024"/>
    <s v="Thursday"/>
    <s v="More than 2 hours"/>
    <n v="3"/>
  </r>
  <r>
    <s v="Call_8067"/>
    <s v="C0010"/>
    <n v="88"/>
    <s v="R02"/>
    <d v="2023-10-05T00:00:00"/>
    <n v="100"/>
    <n v="4.9000000000000004"/>
    <n v="2024"/>
    <s v="Thursday"/>
    <s v="1 to 2 hours"/>
    <n v="5"/>
  </r>
  <r>
    <s v="Call_8068"/>
    <s v="C0009"/>
    <n v="118"/>
    <s v="R01"/>
    <d v="2023-10-05T00:00:00"/>
    <n v="56"/>
    <n v="3.7"/>
    <n v="2024"/>
    <s v="Thursday"/>
    <s v="1 to 2 hours"/>
    <n v="4"/>
  </r>
  <r>
    <s v="Call_8069"/>
    <s v="C0011"/>
    <n v="4"/>
    <s v="R05"/>
    <d v="2023-10-05T00:00:00"/>
    <n v="170"/>
    <n v="3.9"/>
    <n v="2024"/>
    <s v="Thursday"/>
    <s v="Under 10 mins"/>
    <n v="4"/>
  </r>
  <r>
    <s v="Call_8070"/>
    <s v="C0001"/>
    <n v="78"/>
    <s v="R03"/>
    <d v="2023-10-06T00:00:00"/>
    <n v="74"/>
    <n v="3.5"/>
    <n v="2024"/>
    <s v="Friday"/>
    <s v="1 to 2 hours"/>
    <n v="4"/>
  </r>
  <r>
    <s v="Call_8071"/>
    <s v="C0006"/>
    <n v="69"/>
    <s v="R05"/>
    <d v="2023-10-06T00:00:00"/>
    <n v="99"/>
    <n v="2.7"/>
    <n v="2024"/>
    <s v="Friday"/>
    <s v="1 to 2 hours"/>
    <n v="3"/>
  </r>
  <r>
    <s v="Call_8072"/>
    <s v="C0007"/>
    <n v="90"/>
    <s v="R04"/>
    <d v="2023-10-06T00:00:00"/>
    <n v="84"/>
    <n v="3.9"/>
    <n v="2024"/>
    <s v="Friday"/>
    <s v="1 to 2 hours"/>
    <n v="4"/>
  </r>
  <r>
    <s v="Call_8073"/>
    <s v="C0006"/>
    <n v="134"/>
    <s v="R05"/>
    <d v="2023-10-06T00:00:00"/>
    <n v="35"/>
    <n v="3.4"/>
    <n v="2024"/>
    <s v="Friday"/>
    <s v="More than 2 hours"/>
    <n v="3"/>
  </r>
  <r>
    <s v="Call_8074"/>
    <s v="C0004"/>
    <n v="65"/>
    <s v="R01"/>
    <d v="2023-10-06T00:00:00"/>
    <n v="150"/>
    <n v="5"/>
    <n v="2024"/>
    <s v="Friday"/>
    <s v="1 to 2 hours"/>
    <n v="5"/>
  </r>
  <r>
    <s v="Call_8075"/>
    <s v="C0005"/>
    <n v="54"/>
    <s v="R03"/>
    <d v="2023-10-07T00:00:00"/>
    <n v="176"/>
    <n v="4.4000000000000004"/>
    <n v="2024"/>
    <s v="Saturday"/>
    <s v="30 to 60 mins"/>
    <n v="4"/>
  </r>
  <r>
    <s v="Call_8076"/>
    <s v="C0005"/>
    <n v="90"/>
    <s v="R03"/>
    <d v="2023-10-07T00:00:00"/>
    <n v="84"/>
    <n v="4.3"/>
    <n v="2024"/>
    <s v="Saturday"/>
    <s v="1 to 2 hours"/>
    <n v="4"/>
  </r>
  <r>
    <s v="Call_8077"/>
    <s v="C0007"/>
    <n v="66"/>
    <s v="R03"/>
    <d v="2023-10-07T00:00:00"/>
    <n v="136"/>
    <n v="4.7"/>
    <n v="2024"/>
    <s v="Saturday"/>
    <s v="1 to 2 hours"/>
    <n v="5"/>
  </r>
  <r>
    <s v="Call_8078"/>
    <s v="C0011"/>
    <n v="150"/>
    <s v="R03"/>
    <d v="2023-10-08T00:00:00"/>
    <n v="70"/>
    <n v="4.0999999999999996"/>
    <n v="2024"/>
    <s v="Sunday"/>
    <s v="More than 2 hours"/>
    <n v="4"/>
  </r>
  <r>
    <s v="Call_8079"/>
    <s v="C0002"/>
    <n v="18"/>
    <s v="R01"/>
    <d v="2023-10-08T00:00:00"/>
    <n v="96"/>
    <n v="4.8"/>
    <n v="2024"/>
    <s v="Sunday"/>
    <s v="10 to 30 mins"/>
    <n v="5"/>
  </r>
  <r>
    <s v="Call_8080"/>
    <s v="C0005"/>
    <n v="87"/>
    <s v="R01"/>
    <d v="2023-10-08T00:00:00"/>
    <n v="23"/>
    <n v="4.2"/>
    <n v="2024"/>
    <s v="Sunday"/>
    <s v="1 to 2 hours"/>
    <n v="4"/>
  </r>
  <r>
    <s v="Call_8081"/>
    <s v="C0013"/>
    <n v="94"/>
    <s v="R03"/>
    <d v="2023-10-09T00:00:00"/>
    <n v="120"/>
    <n v="3.4"/>
    <n v="2024"/>
    <s v="Monday"/>
    <s v="1 to 2 hours"/>
    <n v="3"/>
  </r>
  <r>
    <s v="Call_8082"/>
    <s v="C0012"/>
    <n v="56"/>
    <s v="R03"/>
    <d v="2023-10-09T00:00:00"/>
    <n v="205"/>
    <n v="3.3"/>
    <n v="2024"/>
    <s v="Monday"/>
    <s v="30 to 60 mins"/>
    <n v="3"/>
  </r>
  <r>
    <s v="Call_8083"/>
    <s v="C0009"/>
    <n v="41"/>
    <s v="R02"/>
    <d v="2023-10-10T00:00:00"/>
    <n v="42"/>
    <n v="3.8"/>
    <n v="2024"/>
    <s v="Tuesday"/>
    <s v="30 to 60 mins"/>
    <n v="4"/>
  </r>
  <r>
    <s v="Call_8084"/>
    <s v="C0011"/>
    <n v="119"/>
    <s v="R04"/>
    <d v="2023-10-10T00:00:00"/>
    <n v="111"/>
    <n v="3.9"/>
    <n v="2024"/>
    <s v="Tuesday"/>
    <s v="1 to 2 hours"/>
    <n v="4"/>
  </r>
  <r>
    <s v="Call_8085"/>
    <s v="C0014"/>
    <n v="108"/>
    <s v="R03"/>
    <d v="2023-10-10T00:00:00"/>
    <n v="68"/>
    <n v="2.5"/>
    <n v="2024"/>
    <s v="Tuesday"/>
    <s v="1 to 2 hours"/>
    <n v="3"/>
  </r>
  <r>
    <s v="Call_8086"/>
    <s v="C0001"/>
    <n v="63"/>
    <s v="R05"/>
    <d v="2023-10-10T00:00:00"/>
    <n v="172"/>
    <n v="4.9000000000000004"/>
    <n v="2024"/>
    <s v="Tuesday"/>
    <s v="1 to 2 hours"/>
    <n v="5"/>
  </r>
  <r>
    <s v="Call_8087"/>
    <s v="C0015"/>
    <n v="59"/>
    <s v="R03"/>
    <d v="2023-10-10T00:00:00"/>
    <n v="152"/>
    <n v="4.8"/>
    <n v="2024"/>
    <s v="Tuesday"/>
    <s v="30 to 60 mins"/>
    <n v="5"/>
  </r>
  <r>
    <s v="Call_8088"/>
    <s v="C0015"/>
    <n v="90"/>
    <s v="R02"/>
    <d v="2023-10-10T00:00:00"/>
    <n v="48"/>
    <n v="4.7"/>
    <n v="2024"/>
    <s v="Tuesday"/>
    <s v="1 to 2 hours"/>
    <n v="5"/>
  </r>
  <r>
    <s v="Call_8089"/>
    <s v="C0010"/>
    <n v="55"/>
    <s v="R02"/>
    <d v="2023-10-10T00:00:00"/>
    <n v="25"/>
    <n v="4.7"/>
    <n v="2024"/>
    <s v="Tuesday"/>
    <s v="30 to 60 mins"/>
    <n v="5"/>
  </r>
  <r>
    <s v="Call_8090"/>
    <s v="C0014"/>
    <n v="84"/>
    <s v="R04"/>
    <d v="2023-10-11T00:00:00"/>
    <n v="54"/>
    <n v="3.3"/>
    <n v="2024"/>
    <s v="Wednesday"/>
    <s v="1 to 2 hours"/>
    <n v="3"/>
  </r>
  <r>
    <s v="Call_8091"/>
    <s v="C0014"/>
    <n v="150"/>
    <s v="R01"/>
    <d v="2023-10-11T00:00:00"/>
    <n v="108"/>
    <n v="4.7"/>
    <n v="2024"/>
    <s v="Wednesday"/>
    <s v="More than 2 hours"/>
    <n v="5"/>
  </r>
  <r>
    <s v="Call_8092"/>
    <s v="C0008"/>
    <n v="69"/>
    <s v="R03"/>
    <d v="2023-10-11T00:00:00"/>
    <n v="36"/>
    <n v="4.5"/>
    <n v="2024"/>
    <s v="Wednesday"/>
    <s v="1 to 2 hours"/>
    <n v="5"/>
  </r>
  <r>
    <s v="Call_8093"/>
    <s v="C0003"/>
    <n v="120"/>
    <s v="R02"/>
    <d v="2023-10-12T00:00:00"/>
    <n v="140"/>
    <n v="4.5999999999999996"/>
    <n v="2024"/>
    <s v="Thursday"/>
    <s v="1 to 2 hours"/>
    <n v="5"/>
  </r>
  <r>
    <s v="Call_8094"/>
    <s v="C0005"/>
    <n v="126"/>
    <s v="R04"/>
    <d v="2023-10-12T00:00:00"/>
    <n v="50"/>
    <n v="4.8"/>
    <n v="2024"/>
    <s v="Thursday"/>
    <s v="More than 2 hours"/>
    <n v="5"/>
  </r>
  <r>
    <s v="Call_8095"/>
    <s v="C0008"/>
    <n v="120"/>
    <s v="R05"/>
    <d v="2023-10-12T00:00:00"/>
    <n v="195"/>
    <n v="4.3"/>
    <n v="2024"/>
    <s v="Thursday"/>
    <s v="1 to 2 hours"/>
    <n v="4"/>
  </r>
  <r>
    <s v="Call_8096"/>
    <s v="C0005"/>
    <n v="139"/>
    <s v="R02"/>
    <d v="2023-10-13T00:00:00"/>
    <n v="48"/>
    <n v="4.7"/>
    <n v="2024"/>
    <s v="Friday"/>
    <s v="More than 2 hours"/>
    <n v="5"/>
  </r>
  <r>
    <s v="Call_8097"/>
    <s v="C0010"/>
    <n v="124"/>
    <s v="R03"/>
    <d v="2023-10-14T00:00:00"/>
    <n v="29"/>
    <n v="4.8"/>
    <n v="2024"/>
    <s v="Saturday"/>
    <s v="More than 2 hours"/>
    <n v="5"/>
  </r>
  <r>
    <s v="Call_8098"/>
    <s v="C0003"/>
    <n v="108"/>
    <s v="R05"/>
    <d v="2023-10-14T00:00:00"/>
    <n v="44"/>
    <n v="4.7"/>
    <n v="2024"/>
    <s v="Saturday"/>
    <s v="1 to 2 hours"/>
    <n v="5"/>
  </r>
  <r>
    <s v="Call_8099"/>
    <s v="C0004"/>
    <n v="132"/>
    <s v="R01"/>
    <d v="2023-10-14T00:00:00"/>
    <n v="140"/>
    <n v="4.3"/>
    <n v="2024"/>
    <s v="Saturday"/>
    <s v="More than 2 hours"/>
    <n v="4"/>
  </r>
  <r>
    <s v="Call_8100"/>
    <s v="C0001"/>
    <n v="67"/>
    <s v="R01"/>
    <d v="2023-10-14T00:00:00"/>
    <n v="105"/>
    <n v="3.8"/>
    <n v="2024"/>
    <s v="Saturday"/>
    <s v="1 to 2 hours"/>
    <n v="4"/>
  </r>
  <r>
    <s v="Call_8101"/>
    <s v="C0007"/>
    <n v="125"/>
    <s v="R01"/>
    <d v="2023-10-14T00:00:00"/>
    <n v="82"/>
    <n v="4.5999999999999996"/>
    <n v="2024"/>
    <s v="Saturday"/>
    <s v="More than 2 hours"/>
    <n v="5"/>
  </r>
  <r>
    <s v="Call_8102"/>
    <s v="C0003"/>
    <n v="23"/>
    <s v="R05"/>
    <d v="2023-10-14T00:00:00"/>
    <n v="24"/>
    <n v="2.9"/>
    <n v="2024"/>
    <s v="Saturday"/>
    <s v="10 to 30 mins"/>
    <n v="3"/>
  </r>
  <r>
    <s v="Call_8103"/>
    <s v="C0011"/>
    <n v="131"/>
    <s v="R03"/>
    <d v="2023-10-15T00:00:00"/>
    <n v="205"/>
    <n v="4.8"/>
    <n v="2024"/>
    <s v="Sunday"/>
    <s v="More than 2 hours"/>
    <n v="5"/>
  </r>
  <r>
    <s v="Call_8104"/>
    <s v="C0004"/>
    <n v="56"/>
    <s v="R02"/>
    <d v="2023-10-15T00:00:00"/>
    <n v="225"/>
    <n v="4.9000000000000004"/>
    <n v="2024"/>
    <s v="Sunday"/>
    <s v="30 to 60 mins"/>
    <n v="5"/>
  </r>
  <r>
    <s v="Call_8105"/>
    <s v="C0011"/>
    <n v="70"/>
    <s v="R03"/>
    <d v="2023-10-15T00:00:00"/>
    <n v="50"/>
    <n v="3.4"/>
    <n v="2024"/>
    <s v="Sunday"/>
    <s v="1 to 2 hours"/>
    <n v="3"/>
  </r>
  <r>
    <s v="Call_8106"/>
    <s v="C0011"/>
    <n v="55"/>
    <s v="R01"/>
    <d v="2023-10-15T00:00:00"/>
    <n v="80"/>
    <n v="4.3"/>
    <n v="2024"/>
    <s v="Sunday"/>
    <s v="30 to 60 mins"/>
    <n v="4"/>
  </r>
  <r>
    <s v="Call_8107"/>
    <s v="C0007"/>
    <n v="77"/>
    <s v="R02"/>
    <d v="2023-10-15T00:00:00"/>
    <n v="78"/>
    <n v="3.9"/>
    <n v="2024"/>
    <s v="Sunday"/>
    <s v="1 to 2 hours"/>
    <n v="4"/>
  </r>
  <r>
    <s v="Call_8108"/>
    <s v="C0014"/>
    <n v="133"/>
    <s v="R03"/>
    <d v="2023-10-16T00:00:00"/>
    <n v="40"/>
    <n v="3.9"/>
    <n v="2024"/>
    <s v="Monday"/>
    <s v="More than 2 hours"/>
    <n v="4"/>
  </r>
  <r>
    <s v="Call_8109"/>
    <s v="C0007"/>
    <n v="77"/>
    <s v="R02"/>
    <d v="2023-10-16T00:00:00"/>
    <n v="176"/>
    <n v="1.5"/>
    <n v="2024"/>
    <s v="Monday"/>
    <s v="1 to 2 hours"/>
    <n v="2"/>
  </r>
  <r>
    <s v="Call_8110"/>
    <s v="C0015"/>
    <n v="103"/>
    <s v="R03"/>
    <d v="2023-10-16T00:00:00"/>
    <n v="78"/>
    <n v="3"/>
    <n v="2024"/>
    <s v="Monday"/>
    <s v="1 to 2 hours"/>
    <n v="3"/>
  </r>
  <r>
    <s v="Call_8111"/>
    <s v="C0008"/>
    <n v="32"/>
    <s v="R02"/>
    <d v="2023-10-16T00:00:00"/>
    <n v="42"/>
    <n v="4.2"/>
    <n v="2024"/>
    <s v="Monday"/>
    <s v="30 to 60 mins"/>
    <n v="4"/>
  </r>
  <r>
    <s v="Call_8112"/>
    <s v="C0014"/>
    <n v="30"/>
    <s v="R03"/>
    <d v="2023-10-16T00:00:00"/>
    <n v="38"/>
    <n v="3.7"/>
    <n v="2024"/>
    <s v="Monday"/>
    <s v="10 to 30 mins"/>
    <n v="4"/>
  </r>
  <r>
    <s v="Call_8113"/>
    <s v="C0005"/>
    <n v="87"/>
    <s v="R04"/>
    <d v="2023-10-16T00:00:00"/>
    <n v="27"/>
    <n v="4.2"/>
    <n v="2024"/>
    <s v="Monday"/>
    <s v="1 to 2 hours"/>
    <n v="4"/>
  </r>
  <r>
    <s v="Call_8114"/>
    <s v="C0007"/>
    <n v="137"/>
    <s v="R05"/>
    <d v="2023-10-17T00:00:00"/>
    <n v="45"/>
    <n v="4.4000000000000004"/>
    <n v="2024"/>
    <s v="Tuesday"/>
    <s v="More than 2 hours"/>
    <n v="4"/>
  </r>
  <r>
    <s v="Call_8115"/>
    <s v="C0013"/>
    <n v="96"/>
    <s v="R03"/>
    <d v="2023-10-17T00:00:00"/>
    <n v="215"/>
    <n v="4"/>
    <n v="2024"/>
    <s v="Tuesday"/>
    <s v="1 to 2 hours"/>
    <n v="4"/>
  </r>
  <r>
    <s v="Call_8116"/>
    <s v="C0010"/>
    <n v="155"/>
    <s v="R03"/>
    <d v="2023-10-18T00:00:00"/>
    <n v="72"/>
    <n v="4.7"/>
    <n v="2024"/>
    <s v="Wednesday"/>
    <s v="More than 2 hours"/>
    <n v="5"/>
  </r>
  <r>
    <s v="Call_8117"/>
    <s v="C0014"/>
    <n v="173"/>
    <s v="R01"/>
    <d v="2023-10-18T00:00:00"/>
    <n v="160"/>
    <n v="2.8"/>
    <n v="2024"/>
    <s v="Wednesday"/>
    <s v="More than 2 hours"/>
    <n v="3"/>
  </r>
  <r>
    <s v="Call_8118"/>
    <s v="C0010"/>
    <n v="127"/>
    <s v="R03"/>
    <d v="2023-10-18T00:00:00"/>
    <n v="165"/>
    <n v="2.5"/>
    <n v="2024"/>
    <s v="Wednesday"/>
    <s v="More than 2 hours"/>
    <n v="3"/>
  </r>
  <r>
    <s v="Call_8119"/>
    <s v="C0004"/>
    <n v="117"/>
    <s v="R01"/>
    <d v="2023-10-18T00:00:00"/>
    <n v="120"/>
    <n v="3.4"/>
    <n v="2024"/>
    <s v="Wednesday"/>
    <s v="1 to 2 hours"/>
    <n v="3"/>
  </r>
  <r>
    <s v="Call_8120"/>
    <s v="C0003"/>
    <n v="133"/>
    <s v="R02"/>
    <d v="2023-10-18T00:00:00"/>
    <n v="117"/>
    <n v="4.8"/>
    <n v="2024"/>
    <s v="Wednesday"/>
    <s v="More than 2 hours"/>
    <n v="5"/>
  </r>
  <r>
    <s v="Call_8121"/>
    <s v="C0002"/>
    <n v="166"/>
    <s v="R04"/>
    <d v="2023-10-19T00:00:00"/>
    <n v="29"/>
    <n v="4.3"/>
    <n v="2024"/>
    <s v="Thursday"/>
    <s v="More than 2 hours"/>
    <n v="4"/>
  </r>
  <r>
    <s v="Call_8122"/>
    <s v="C0003"/>
    <n v="50"/>
    <s v="R01"/>
    <d v="2023-10-19T00:00:00"/>
    <n v="64"/>
    <n v="4.5"/>
    <n v="2024"/>
    <s v="Thursday"/>
    <s v="30 to 60 mins"/>
    <n v="5"/>
  </r>
  <r>
    <s v="Call_8123"/>
    <s v="C0015"/>
    <n v="43"/>
    <s v="R02"/>
    <d v="2023-10-19T00:00:00"/>
    <n v="84"/>
    <n v="3.6"/>
    <n v="2024"/>
    <s v="Thursday"/>
    <s v="30 to 60 mins"/>
    <n v="4"/>
  </r>
  <r>
    <s v="Call_8124"/>
    <s v="C0013"/>
    <n v="124"/>
    <s v="R03"/>
    <d v="2023-10-19T00:00:00"/>
    <n v="42"/>
    <n v="3.7"/>
    <n v="2024"/>
    <s v="Thursday"/>
    <s v="More than 2 hours"/>
    <n v="4"/>
  </r>
  <r>
    <s v="Call_8125"/>
    <s v="C0014"/>
    <n v="94"/>
    <s v="R03"/>
    <d v="2023-10-19T00:00:00"/>
    <n v="120"/>
    <n v="3.5"/>
    <n v="2024"/>
    <s v="Thursday"/>
    <s v="1 to 2 hours"/>
    <n v="4"/>
  </r>
  <r>
    <s v="Call_8126"/>
    <s v="C0015"/>
    <n v="126"/>
    <s v="R04"/>
    <d v="2023-10-20T00:00:00"/>
    <n v="80"/>
    <n v="4.7"/>
    <n v="2024"/>
    <s v="Friday"/>
    <s v="More than 2 hours"/>
    <n v="5"/>
  </r>
  <r>
    <s v="Call_8127"/>
    <s v="C0002"/>
    <n v="105"/>
    <s v="R01"/>
    <d v="2023-10-20T00:00:00"/>
    <n v="185"/>
    <n v="3.5"/>
    <n v="2024"/>
    <s v="Friday"/>
    <s v="1 to 2 hours"/>
    <n v="4"/>
  </r>
  <r>
    <s v="Call_8128"/>
    <s v="C0011"/>
    <n v="60"/>
    <s v="R05"/>
    <d v="2023-10-21T00:00:00"/>
    <n v="135"/>
    <n v="3.9"/>
    <n v="2024"/>
    <s v="Saturday"/>
    <s v="30 to 60 mins"/>
    <n v="4"/>
  </r>
  <r>
    <s v="Call_8129"/>
    <s v="C0011"/>
    <n v="72"/>
    <s v="R01"/>
    <d v="2023-10-21T00:00:00"/>
    <n v="20"/>
    <n v="4.8"/>
    <n v="2024"/>
    <s v="Saturday"/>
    <s v="1 to 2 hours"/>
    <n v="5"/>
  </r>
  <r>
    <s v="Call_8130"/>
    <s v="C0012"/>
    <n v="40"/>
    <s v="R01"/>
    <d v="2023-10-21T00:00:00"/>
    <n v="31"/>
    <n v="4"/>
    <n v="2024"/>
    <s v="Saturday"/>
    <s v="30 to 60 mins"/>
    <n v="4"/>
  </r>
  <r>
    <s v="Call_8131"/>
    <s v="C0008"/>
    <n v="54"/>
    <s v="R04"/>
    <d v="2023-10-22T00:00:00"/>
    <n v="120"/>
    <n v="4.7"/>
    <n v="2024"/>
    <s v="Sunday"/>
    <s v="30 to 60 mins"/>
    <n v="5"/>
  </r>
  <r>
    <s v="Call_8132"/>
    <s v="C0004"/>
    <n v="81"/>
    <s v="R02"/>
    <d v="2023-10-22T00:00:00"/>
    <n v="117"/>
    <n v="3.6"/>
    <n v="2024"/>
    <s v="Sunday"/>
    <s v="1 to 2 hours"/>
    <n v="4"/>
  </r>
  <r>
    <s v="Call_8133"/>
    <s v="C0008"/>
    <n v="76"/>
    <s v="R03"/>
    <d v="2023-10-22T00:00:00"/>
    <n v="80"/>
    <n v="4.5"/>
    <n v="2024"/>
    <s v="Sunday"/>
    <s v="1 to 2 hours"/>
    <n v="5"/>
  </r>
  <r>
    <s v="Call_8134"/>
    <s v="C0008"/>
    <n v="37"/>
    <s v="R05"/>
    <d v="2023-10-23T00:00:00"/>
    <n v="117"/>
    <n v="4"/>
    <n v="2024"/>
    <s v="Monday"/>
    <s v="30 to 60 mins"/>
    <n v="4"/>
  </r>
  <r>
    <s v="Call_8135"/>
    <s v="C0002"/>
    <n v="96"/>
    <s v="R04"/>
    <d v="2023-10-23T00:00:00"/>
    <n v="60"/>
    <n v="4.5"/>
    <n v="2024"/>
    <s v="Monday"/>
    <s v="1 to 2 hours"/>
    <n v="5"/>
  </r>
  <r>
    <s v="Call_8136"/>
    <s v="C0011"/>
    <n v="19"/>
    <s v="R03"/>
    <d v="2023-10-24T00:00:00"/>
    <n v="58"/>
    <n v="3.9"/>
    <n v="2024"/>
    <s v="Tuesday"/>
    <s v="10 to 30 mins"/>
    <n v="4"/>
  </r>
  <r>
    <s v="Call_8137"/>
    <s v="C0012"/>
    <n v="72"/>
    <s v="R05"/>
    <d v="2023-10-24T00:00:00"/>
    <n v="41"/>
    <n v="4.3"/>
    <n v="2024"/>
    <s v="Tuesday"/>
    <s v="1 to 2 hours"/>
    <n v="4"/>
  </r>
  <r>
    <s v="Call_8138"/>
    <s v="C0014"/>
    <n v="73"/>
    <s v="R02"/>
    <d v="2023-10-24T00:00:00"/>
    <n v="180"/>
    <n v="3.6"/>
    <n v="2024"/>
    <s v="Tuesday"/>
    <s v="1 to 2 hours"/>
    <n v="4"/>
  </r>
  <r>
    <s v="Call_8139"/>
    <s v="C0001"/>
    <n v="87"/>
    <s v="R02"/>
    <d v="2023-10-24T00:00:00"/>
    <n v="42"/>
    <n v="3.6"/>
    <n v="2024"/>
    <s v="Tuesday"/>
    <s v="1 to 2 hours"/>
    <n v="4"/>
  </r>
  <r>
    <s v="Call_8140"/>
    <s v="C0001"/>
    <n v="68"/>
    <s v="R02"/>
    <d v="2023-10-25T00:00:00"/>
    <n v="24"/>
    <n v="4"/>
    <n v="2024"/>
    <s v="Wednesday"/>
    <s v="1 to 2 hours"/>
    <n v="4"/>
  </r>
  <r>
    <s v="Call_8141"/>
    <s v="C0012"/>
    <n v="101"/>
    <s v="R02"/>
    <d v="2023-10-25T00:00:00"/>
    <n v="125"/>
    <n v="4.2"/>
    <n v="2024"/>
    <s v="Wednesday"/>
    <s v="1 to 2 hours"/>
    <n v="4"/>
  </r>
  <r>
    <s v="Call_8142"/>
    <s v="C0012"/>
    <n v="107"/>
    <s v="R05"/>
    <d v="2023-10-26T00:00:00"/>
    <n v="78"/>
    <n v="4.3"/>
    <n v="2024"/>
    <s v="Thursday"/>
    <s v="1 to 2 hours"/>
    <n v="4"/>
  </r>
  <r>
    <s v="Call_8143"/>
    <s v="C0009"/>
    <n v="109"/>
    <s v="R01"/>
    <d v="2023-10-26T00:00:00"/>
    <n v="180"/>
    <n v="3.8"/>
    <n v="2024"/>
    <s v="Thursday"/>
    <s v="1 to 2 hours"/>
    <n v="4"/>
  </r>
  <r>
    <s v="Call_8144"/>
    <s v="C0013"/>
    <n v="171"/>
    <s v="R05"/>
    <d v="2023-10-26T00:00:00"/>
    <n v="84"/>
    <n v="4.4000000000000004"/>
    <n v="2024"/>
    <s v="Thursday"/>
    <s v="More than 2 hours"/>
    <n v="4"/>
  </r>
  <r>
    <s v="Call_8145"/>
    <s v="C0011"/>
    <n v="21"/>
    <s v="R05"/>
    <d v="2023-10-26T00:00:00"/>
    <n v="26"/>
    <n v="4.7"/>
    <n v="2024"/>
    <s v="Thursday"/>
    <s v="10 to 30 mins"/>
    <n v="5"/>
  </r>
  <r>
    <s v="Call_8146"/>
    <s v="C0004"/>
    <n v="94"/>
    <s v="R05"/>
    <d v="2023-10-27T00:00:00"/>
    <n v="140"/>
    <n v="3.6"/>
    <n v="2024"/>
    <s v="Friday"/>
    <s v="1 to 2 hours"/>
    <n v="4"/>
  </r>
  <r>
    <s v="Call_8147"/>
    <s v="C0014"/>
    <n v="97"/>
    <s v="R01"/>
    <d v="2023-10-27T00:00:00"/>
    <n v="31"/>
    <n v="2.2000000000000002"/>
    <n v="2024"/>
    <s v="Friday"/>
    <s v="1 to 2 hours"/>
    <n v="2"/>
  </r>
  <r>
    <s v="Call_8148"/>
    <s v="C0002"/>
    <n v="72"/>
    <s v="R01"/>
    <d v="2023-10-27T00:00:00"/>
    <n v="108"/>
    <n v="4.8"/>
    <n v="2024"/>
    <s v="Friday"/>
    <s v="1 to 2 hours"/>
    <n v="5"/>
  </r>
  <r>
    <s v="Call_8149"/>
    <s v="C0013"/>
    <n v="143"/>
    <s v="R04"/>
    <d v="2023-10-28T00:00:00"/>
    <n v="58"/>
    <n v="4.3"/>
    <n v="2024"/>
    <s v="Saturday"/>
    <s v="More than 2 hours"/>
    <n v="4"/>
  </r>
  <r>
    <s v="Call_8150"/>
    <s v="C0013"/>
    <n v="64"/>
    <s v="R01"/>
    <d v="2023-10-28T00:00:00"/>
    <n v="185"/>
    <n v="2.2000000000000002"/>
    <n v="2024"/>
    <s v="Saturday"/>
    <s v="1 to 2 hours"/>
    <n v="2"/>
  </r>
  <r>
    <s v="Call_8151"/>
    <s v="C0013"/>
    <n v="69"/>
    <s v="R01"/>
    <d v="2023-10-28T00:00:00"/>
    <n v="40"/>
    <n v="4.8"/>
    <n v="2024"/>
    <s v="Saturday"/>
    <s v="1 to 2 hours"/>
    <n v="5"/>
  </r>
  <r>
    <s v="Call_8152"/>
    <s v="C0013"/>
    <n v="18"/>
    <s v="R03"/>
    <d v="2023-10-28T00:00:00"/>
    <n v="225"/>
    <n v="2.6"/>
    <n v="2024"/>
    <s v="Saturday"/>
    <s v="10 to 30 mins"/>
    <n v="3"/>
  </r>
  <r>
    <s v="Call_8153"/>
    <s v="C0014"/>
    <n v="100"/>
    <s v="R04"/>
    <d v="2023-10-28T00:00:00"/>
    <n v="150"/>
    <n v="2.6"/>
    <n v="2024"/>
    <s v="Saturday"/>
    <s v="1 to 2 hours"/>
    <n v="3"/>
  </r>
  <r>
    <s v="Call_8154"/>
    <s v="C0010"/>
    <n v="110"/>
    <s v="R02"/>
    <d v="2023-10-29T00:00:00"/>
    <n v="88"/>
    <n v="3.4"/>
    <n v="2024"/>
    <s v="Sunday"/>
    <s v="1 to 2 hours"/>
    <n v="3"/>
  </r>
  <r>
    <s v="Call_8155"/>
    <s v="C0006"/>
    <n v="41"/>
    <s v="R05"/>
    <d v="2023-10-29T00:00:00"/>
    <n v="140"/>
    <n v="3.7"/>
    <n v="2024"/>
    <s v="Sunday"/>
    <s v="30 to 60 mins"/>
    <n v="4"/>
  </r>
  <r>
    <s v="Call_8156"/>
    <s v="C0010"/>
    <n v="147"/>
    <s v="R02"/>
    <d v="2023-10-29T00:00:00"/>
    <n v="68"/>
    <n v="2.1"/>
    <n v="2024"/>
    <s v="Sunday"/>
    <s v="More than 2 hours"/>
    <n v="2"/>
  </r>
  <r>
    <s v="Call_8157"/>
    <s v="C0004"/>
    <n v="31"/>
    <s v="R03"/>
    <d v="2023-10-30T00:00:00"/>
    <n v="105"/>
    <n v="3.6"/>
    <n v="2024"/>
    <s v="Monday"/>
    <s v="30 to 60 mins"/>
    <n v="4"/>
  </r>
  <r>
    <s v="Call_8158"/>
    <s v="C0001"/>
    <n v="142"/>
    <s v="R05"/>
    <d v="2023-10-30T00:00:00"/>
    <n v="40"/>
    <n v="3.8"/>
    <n v="2024"/>
    <s v="Monday"/>
    <s v="More than 2 hours"/>
    <n v="4"/>
  </r>
  <r>
    <s v="Call_8159"/>
    <s v="C0009"/>
    <n v="61"/>
    <s v="R05"/>
    <d v="2023-10-30T00:00:00"/>
    <n v="82"/>
    <n v="3.1"/>
    <n v="2024"/>
    <s v="Monday"/>
    <s v="1 to 2 hours"/>
    <n v="3"/>
  </r>
  <r>
    <s v="Call_8160"/>
    <s v="C0003"/>
    <n v="86"/>
    <s v="R03"/>
    <d v="2023-10-31T00:00:00"/>
    <n v="90"/>
    <n v="4.4000000000000004"/>
    <n v="2024"/>
    <s v="Tuesday"/>
    <s v="1 to 2 hours"/>
    <n v="4"/>
  </r>
  <r>
    <s v="Call_8161"/>
    <s v="C0005"/>
    <n v="165"/>
    <s v="R04"/>
    <d v="2023-11-01T00:00:00"/>
    <n v="66"/>
    <n v="4.8"/>
    <n v="2024"/>
    <s v="Wednesday"/>
    <s v="More than 2 hours"/>
    <n v="5"/>
  </r>
  <r>
    <s v="Call_8162"/>
    <s v="C0008"/>
    <n v="62"/>
    <s v="R02"/>
    <d v="2023-11-01T00:00:00"/>
    <n v="78"/>
    <n v="3.5"/>
    <n v="2024"/>
    <s v="Wednesday"/>
    <s v="1 to 2 hours"/>
    <n v="4"/>
  </r>
  <r>
    <s v="Call_8163"/>
    <s v="C0014"/>
    <n v="103"/>
    <s v="R04"/>
    <d v="2023-11-02T00:00:00"/>
    <n v="66"/>
    <n v="4.4000000000000004"/>
    <n v="2024"/>
    <s v="Thursday"/>
    <s v="1 to 2 hours"/>
    <n v="4"/>
  </r>
  <r>
    <s v="Call_8164"/>
    <s v="C0001"/>
    <n v="56"/>
    <s v="R03"/>
    <d v="2023-11-03T00:00:00"/>
    <n v="160"/>
    <n v="3.8"/>
    <n v="2024"/>
    <s v="Friday"/>
    <s v="30 to 60 mins"/>
    <n v="4"/>
  </r>
  <r>
    <s v="Call_8165"/>
    <s v="C0012"/>
    <n v="114"/>
    <s v="R05"/>
    <d v="2023-11-04T00:00:00"/>
    <n v="144"/>
    <n v="3.8"/>
    <n v="2024"/>
    <s v="Saturday"/>
    <s v="1 to 2 hours"/>
    <n v="4"/>
  </r>
  <r>
    <s v="Call_8166"/>
    <s v="C0001"/>
    <n v="112"/>
    <s v="R01"/>
    <d v="2023-11-04T00:00:00"/>
    <n v="200"/>
    <n v="4.5999999999999996"/>
    <n v="2024"/>
    <s v="Saturday"/>
    <s v="1 to 2 hours"/>
    <n v="5"/>
  </r>
  <r>
    <s v="Call_8167"/>
    <s v="C0007"/>
    <n v="52"/>
    <s v="R02"/>
    <d v="2023-11-06T00:00:00"/>
    <n v="220"/>
    <n v="5"/>
    <n v="2024"/>
    <s v="Monday"/>
    <s v="30 to 60 mins"/>
    <n v="5"/>
  </r>
  <r>
    <s v="Call_8168"/>
    <s v="C0014"/>
    <n v="105"/>
    <s v="R04"/>
    <d v="2023-11-07T00:00:00"/>
    <n v="112"/>
    <n v="3.2"/>
    <n v="2024"/>
    <s v="Tuesday"/>
    <s v="1 to 2 hours"/>
    <n v="3"/>
  </r>
  <r>
    <s v="Call_8169"/>
    <s v="C0005"/>
    <n v="91"/>
    <s v="R03"/>
    <d v="2023-11-07T00:00:00"/>
    <n v="110"/>
    <n v="3.7"/>
    <n v="2024"/>
    <s v="Tuesday"/>
    <s v="1 to 2 hours"/>
    <n v="4"/>
  </r>
  <r>
    <s v="Call_8170"/>
    <s v="C0015"/>
    <n v="74"/>
    <s v="R05"/>
    <d v="2023-11-08T00:00:00"/>
    <n v="160"/>
    <n v="2.7"/>
    <n v="2024"/>
    <s v="Wednesday"/>
    <s v="1 to 2 hours"/>
    <n v="3"/>
  </r>
  <r>
    <s v="Call_8171"/>
    <s v="C0015"/>
    <n v="30"/>
    <s v="R03"/>
    <d v="2023-11-08T00:00:00"/>
    <n v="84"/>
    <n v="4"/>
    <n v="2024"/>
    <s v="Wednesday"/>
    <s v="10 to 30 mins"/>
    <n v="4"/>
  </r>
  <r>
    <s v="Call_8172"/>
    <s v="C0005"/>
    <n v="56"/>
    <s v="R02"/>
    <d v="2023-11-08T00:00:00"/>
    <n v="124"/>
    <n v="2.6"/>
    <n v="2024"/>
    <s v="Wednesday"/>
    <s v="30 to 60 mins"/>
    <n v="3"/>
  </r>
  <r>
    <s v="Call_8173"/>
    <s v="C0015"/>
    <n v="151"/>
    <s v="R01"/>
    <d v="2023-11-08T00:00:00"/>
    <n v="84"/>
    <n v="4.5999999999999996"/>
    <n v="2024"/>
    <s v="Wednesday"/>
    <s v="More than 2 hours"/>
    <n v="5"/>
  </r>
  <r>
    <s v="Call_8174"/>
    <s v="C0004"/>
    <n v="108"/>
    <s v="R04"/>
    <d v="2023-11-09T00:00:00"/>
    <n v="130"/>
    <n v="2.7"/>
    <n v="2024"/>
    <s v="Thursday"/>
    <s v="1 to 2 hours"/>
    <n v="3"/>
  </r>
  <r>
    <s v="Call_8175"/>
    <s v="C0012"/>
    <n v="124"/>
    <s v="R05"/>
    <d v="2023-11-09T00:00:00"/>
    <n v="215"/>
    <n v="3.5"/>
    <n v="2024"/>
    <s v="Thursday"/>
    <s v="More than 2 hours"/>
    <n v="4"/>
  </r>
  <r>
    <s v="Call_8176"/>
    <s v="C0014"/>
    <n v="110"/>
    <s v="R02"/>
    <d v="2023-11-10T00:00:00"/>
    <n v="132"/>
    <n v="3.6"/>
    <n v="2024"/>
    <s v="Friday"/>
    <s v="1 to 2 hours"/>
    <n v="4"/>
  </r>
  <r>
    <s v="Call_8177"/>
    <s v="C0010"/>
    <n v="89"/>
    <s v="R04"/>
    <d v="2023-11-10T00:00:00"/>
    <n v="88"/>
    <n v="4.9000000000000004"/>
    <n v="2024"/>
    <s v="Friday"/>
    <s v="1 to 2 hours"/>
    <n v="5"/>
  </r>
  <r>
    <s v="Call_8178"/>
    <s v="C0003"/>
    <n v="95"/>
    <s v="R02"/>
    <d v="2023-11-10T00:00:00"/>
    <n v="140"/>
    <n v="3.9"/>
    <n v="2024"/>
    <s v="Friday"/>
    <s v="1 to 2 hours"/>
    <n v="4"/>
  </r>
  <r>
    <s v="Call_8179"/>
    <s v="C0015"/>
    <n v="84"/>
    <s v="R04"/>
    <d v="2023-11-11T00:00:00"/>
    <n v="66"/>
    <n v="4.7"/>
    <n v="2024"/>
    <s v="Saturday"/>
    <s v="1 to 2 hours"/>
    <n v="5"/>
  </r>
  <r>
    <s v="Call_8180"/>
    <s v="C0002"/>
    <n v="89"/>
    <s v="R05"/>
    <d v="2023-11-11T00:00:00"/>
    <n v="23"/>
    <n v="4.5"/>
    <n v="2024"/>
    <s v="Saturday"/>
    <s v="1 to 2 hours"/>
    <n v="5"/>
  </r>
  <r>
    <s v="Call_8181"/>
    <s v="C0010"/>
    <n v="146"/>
    <s v="R05"/>
    <d v="2023-11-12T00:00:00"/>
    <n v="220"/>
    <n v="4.5"/>
    <n v="2024"/>
    <s v="Sunday"/>
    <s v="More than 2 hours"/>
    <n v="5"/>
  </r>
  <r>
    <s v="Call_8182"/>
    <s v="C0013"/>
    <n v="62"/>
    <s v="R03"/>
    <d v="2023-11-13T00:00:00"/>
    <n v="175"/>
    <n v="4.4000000000000004"/>
    <n v="2024"/>
    <s v="Monday"/>
    <s v="1 to 2 hours"/>
    <n v="4"/>
  </r>
  <r>
    <s v="Call_8183"/>
    <s v="C0001"/>
    <n v="82"/>
    <s v="R05"/>
    <d v="2023-11-13T00:00:00"/>
    <n v="172"/>
    <n v="4.0999999999999996"/>
    <n v="2024"/>
    <s v="Monday"/>
    <s v="1 to 2 hours"/>
    <n v="4"/>
  </r>
  <r>
    <s v="Call_8184"/>
    <s v="C0009"/>
    <n v="91"/>
    <s v="R01"/>
    <d v="2023-11-13T00:00:00"/>
    <n v="108"/>
    <n v="3.8"/>
    <n v="2024"/>
    <s v="Monday"/>
    <s v="1 to 2 hours"/>
    <n v="4"/>
  </r>
  <r>
    <s v="Call_8185"/>
    <s v="C0002"/>
    <n v="39"/>
    <s v="R05"/>
    <d v="2023-11-14T00:00:00"/>
    <n v="43"/>
    <n v="4.2"/>
    <n v="2024"/>
    <s v="Tuesday"/>
    <s v="30 to 60 mins"/>
    <n v="4"/>
  </r>
  <r>
    <s v="Call_8186"/>
    <s v="C0010"/>
    <n v="149"/>
    <s v="R02"/>
    <d v="2023-11-14T00:00:00"/>
    <n v="44"/>
    <n v="2.2000000000000002"/>
    <n v="2024"/>
    <s v="Tuesday"/>
    <s v="More than 2 hours"/>
    <n v="2"/>
  </r>
  <r>
    <s v="Call_8187"/>
    <s v="C0001"/>
    <n v="138"/>
    <s v="R03"/>
    <d v="2023-11-14T00:00:00"/>
    <n v="105"/>
    <n v="3.9"/>
    <n v="2024"/>
    <s v="Tuesday"/>
    <s v="More than 2 hours"/>
    <n v="4"/>
  </r>
  <r>
    <s v="Call_8188"/>
    <s v="C0013"/>
    <n v="113"/>
    <s v="R02"/>
    <d v="2023-11-15T00:00:00"/>
    <n v="34"/>
    <n v="3.9"/>
    <n v="2024"/>
    <s v="Wednesday"/>
    <s v="1 to 2 hours"/>
    <n v="4"/>
  </r>
  <r>
    <s v="Call_8189"/>
    <s v="C0011"/>
    <n v="88"/>
    <s v="R05"/>
    <d v="2023-11-15T00:00:00"/>
    <n v="220"/>
    <n v="4.0999999999999996"/>
    <n v="2024"/>
    <s v="Wednesday"/>
    <s v="1 to 2 hours"/>
    <n v="4"/>
  </r>
  <r>
    <s v="Call_8190"/>
    <s v="C0003"/>
    <n v="64"/>
    <s v="R03"/>
    <d v="2023-11-15T00:00:00"/>
    <n v="225"/>
    <n v="4.5999999999999996"/>
    <n v="2024"/>
    <s v="Wednesday"/>
    <s v="1 to 2 hours"/>
    <n v="5"/>
  </r>
  <r>
    <s v="Call_8191"/>
    <s v="C0005"/>
    <n v="53"/>
    <s v="R03"/>
    <d v="2023-11-16T00:00:00"/>
    <n v="37"/>
    <n v="4.0999999999999996"/>
    <n v="2024"/>
    <s v="Thursday"/>
    <s v="30 to 60 mins"/>
    <n v="4"/>
  </r>
  <r>
    <s v="Call_8192"/>
    <s v="C0012"/>
    <n v="63"/>
    <s v="R02"/>
    <d v="2023-11-16T00:00:00"/>
    <n v="44"/>
    <n v="5"/>
    <n v="2024"/>
    <s v="Thursday"/>
    <s v="1 to 2 hours"/>
    <n v="5"/>
  </r>
  <r>
    <s v="Call_8193"/>
    <s v="C0007"/>
    <n v="54"/>
    <s v="R02"/>
    <d v="2023-11-17T00:00:00"/>
    <n v="35"/>
    <n v="2.8"/>
    <n v="2024"/>
    <s v="Friday"/>
    <s v="30 to 60 mins"/>
    <n v="3"/>
  </r>
  <r>
    <s v="Call_8194"/>
    <s v="C0012"/>
    <n v="54"/>
    <s v="R05"/>
    <d v="2023-11-17T00:00:00"/>
    <n v="145"/>
    <n v="2.7"/>
    <n v="2024"/>
    <s v="Friday"/>
    <s v="30 to 60 mins"/>
    <n v="3"/>
  </r>
  <r>
    <s v="Call_8195"/>
    <s v="C0010"/>
    <n v="71"/>
    <s v="R03"/>
    <d v="2023-11-17T00:00:00"/>
    <n v="64"/>
    <n v="3.9"/>
    <n v="2024"/>
    <s v="Friday"/>
    <s v="1 to 2 hours"/>
    <n v="4"/>
  </r>
  <r>
    <s v="Call_8196"/>
    <s v="C0012"/>
    <n v="93"/>
    <s v="R05"/>
    <d v="2023-11-18T00:00:00"/>
    <n v="185"/>
    <n v="4.3"/>
    <n v="2024"/>
    <s v="Saturday"/>
    <s v="1 to 2 hours"/>
    <n v="4"/>
  </r>
  <r>
    <s v="Call_8197"/>
    <s v="C0014"/>
    <n v="96"/>
    <s v="R02"/>
    <d v="2023-11-18T00:00:00"/>
    <n v="215"/>
    <n v="2.5"/>
    <n v="2024"/>
    <s v="Saturday"/>
    <s v="1 to 2 hours"/>
    <n v="3"/>
  </r>
  <r>
    <s v="Call_8198"/>
    <s v="C0002"/>
    <n v="31"/>
    <s v="R01"/>
    <d v="2023-11-18T00:00:00"/>
    <n v="88"/>
    <n v="3.4"/>
    <n v="2024"/>
    <s v="Saturday"/>
    <s v="30 to 60 mins"/>
    <n v="3"/>
  </r>
  <r>
    <s v="Call_8199"/>
    <s v="C0012"/>
    <n v="107"/>
    <s v="R03"/>
    <d v="2023-11-18T00:00:00"/>
    <n v="23"/>
    <n v="3.4"/>
    <n v="2024"/>
    <s v="Saturday"/>
    <s v="1 to 2 hours"/>
    <n v="3"/>
  </r>
  <r>
    <s v="Call_8200"/>
    <s v="C0005"/>
    <n v="50"/>
    <s v="R01"/>
    <d v="2023-11-19T00:00:00"/>
    <n v="180"/>
    <n v="1.8"/>
    <n v="2024"/>
    <s v="Sunday"/>
    <s v="30 to 60 mins"/>
    <n v="2"/>
  </r>
  <r>
    <s v="Call_8201"/>
    <s v="C0001"/>
    <n v="69"/>
    <s v="R03"/>
    <d v="2023-11-20T00:00:00"/>
    <n v="225"/>
    <n v="3.7"/>
    <n v="2024"/>
    <s v="Monday"/>
    <s v="1 to 2 hours"/>
    <n v="4"/>
  </r>
  <r>
    <s v="Call_8202"/>
    <s v="C0011"/>
    <n v="26"/>
    <s v="R02"/>
    <d v="2023-11-21T00:00:00"/>
    <n v="74"/>
    <n v="4.0999999999999996"/>
    <n v="2024"/>
    <s v="Tuesday"/>
    <s v="10 to 30 mins"/>
    <n v="4"/>
  </r>
  <r>
    <s v="Call_8203"/>
    <s v="C0014"/>
    <n v="158"/>
    <s v="R03"/>
    <d v="2023-11-21T00:00:00"/>
    <n v="36"/>
    <n v="3"/>
    <n v="2024"/>
    <s v="Tuesday"/>
    <s v="More than 2 hours"/>
    <n v="3"/>
  </r>
  <r>
    <s v="Call_8204"/>
    <s v="C0007"/>
    <n v="99"/>
    <s v="R03"/>
    <d v="2023-11-23T00:00:00"/>
    <n v="116"/>
    <n v="3.9"/>
    <n v="2024"/>
    <s v="Thursday"/>
    <s v="1 to 2 hours"/>
    <n v="4"/>
  </r>
  <r>
    <s v="Call_8205"/>
    <s v="C0014"/>
    <n v="78"/>
    <s v="R01"/>
    <d v="2023-11-23T00:00:00"/>
    <n v="140"/>
    <n v="4"/>
    <n v="2024"/>
    <s v="Thursday"/>
    <s v="1 to 2 hours"/>
    <n v="4"/>
  </r>
  <r>
    <s v="Call_8206"/>
    <s v="C0014"/>
    <n v="102"/>
    <s v="R02"/>
    <d v="2023-11-24T00:00:00"/>
    <n v="104"/>
    <n v="4.5"/>
    <n v="2024"/>
    <s v="Friday"/>
    <s v="1 to 2 hours"/>
    <n v="5"/>
  </r>
  <r>
    <s v="Call_8207"/>
    <s v="C0007"/>
    <n v="158"/>
    <s v="R04"/>
    <d v="2023-11-24T00:00:00"/>
    <n v="148"/>
    <n v="4"/>
    <n v="2024"/>
    <s v="Friday"/>
    <s v="More than 2 hours"/>
    <n v="4"/>
  </r>
  <r>
    <s v="Call_8208"/>
    <s v="C0002"/>
    <n v="56"/>
    <s v="R03"/>
    <d v="2023-11-24T00:00:00"/>
    <n v="205"/>
    <n v="4.3"/>
    <n v="2024"/>
    <s v="Friday"/>
    <s v="30 to 60 mins"/>
    <n v="4"/>
  </r>
  <r>
    <s v="Call_8209"/>
    <s v="C0004"/>
    <n v="17"/>
    <s v="R05"/>
    <d v="2023-11-24T00:00:00"/>
    <n v="210"/>
    <n v="4.8"/>
    <n v="2024"/>
    <s v="Friday"/>
    <s v="10 to 30 mins"/>
    <n v="5"/>
  </r>
  <r>
    <s v="Call_8210"/>
    <s v="C0011"/>
    <n v="104"/>
    <s v="R04"/>
    <d v="2023-11-26T00:00:00"/>
    <n v="41"/>
    <n v="4.7"/>
    <n v="2024"/>
    <s v="Sunday"/>
    <s v="1 to 2 hours"/>
    <n v="5"/>
  </r>
  <r>
    <s v="Call_8211"/>
    <s v="C0015"/>
    <n v="96"/>
    <s v="R01"/>
    <d v="2023-11-26T00:00:00"/>
    <n v="136"/>
    <n v="5"/>
    <n v="2024"/>
    <s v="Sunday"/>
    <s v="1 to 2 hours"/>
    <n v="5"/>
  </r>
  <r>
    <s v="Call_8212"/>
    <s v="C0009"/>
    <n v="83"/>
    <s v="R02"/>
    <d v="2023-11-27T00:00:00"/>
    <n v="126"/>
    <n v="1.5"/>
    <n v="2024"/>
    <s v="Monday"/>
    <s v="1 to 2 hours"/>
    <n v="2"/>
  </r>
  <r>
    <s v="Call_8213"/>
    <s v="C0005"/>
    <n v="80"/>
    <s v="R05"/>
    <d v="2023-11-28T00:00:00"/>
    <n v="148"/>
    <n v="4.0999999999999996"/>
    <n v="2024"/>
    <s v="Tuesday"/>
    <s v="1 to 2 hours"/>
    <n v="4"/>
  </r>
  <r>
    <s v="Call_8214"/>
    <s v="C0009"/>
    <n v="152"/>
    <s v="R02"/>
    <d v="2023-11-28T00:00:00"/>
    <n v="125"/>
    <n v="3.9"/>
    <n v="2024"/>
    <s v="Tuesday"/>
    <s v="More than 2 hours"/>
    <n v="4"/>
  </r>
  <r>
    <s v="Call_8215"/>
    <s v="C0010"/>
    <n v="34"/>
    <s v="R01"/>
    <d v="2023-11-28T00:00:00"/>
    <n v="25"/>
    <n v="4.0999999999999996"/>
    <n v="2024"/>
    <s v="Tuesday"/>
    <s v="30 to 60 mins"/>
    <n v="4"/>
  </r>
  <r>
    <s v="Call_8216"/>
    <s v="C0013"/>
    <n v="2"/>
    <s v="R03"/>
    <d v="2023-11-29T00:00:00"/>
    <n v="62"/>
    <n v="2.8"/>
    <n v="2024"/>
    <s v="Wednesday"/>
    <s v="Under 10 mins"/>
    <n v="3"/>
  </r>
  <r>
    <s v="Call_8217"/>
    <s v="C0005"/>
    <n v="140"/>
    <s v="R01"/>
    <d v="2023-11-30T00:00:00"/>
    <n v="90"/>
    <n v="4.5999999999999996"/>
    <n v="2024"/>
    <s v="Thursday"/>
    <s v="More than 2 hours"/>
    <n v="5"/>
  </r>
  <r>
    <s v="Call_8218"/>
    <s v="C0004"/>
    <n v="126"/>
    <s v="R04"/>
    <d v="2023-12-01T00:00:00"/>
    <n v="33"/>
    <n v="4.8"/>
    <n v="2024"/>
    <s v="Friday"/>
    <s v="More than 2 hours"/>
    <n v="5"/>
  </r>
  <r>
    <s v="Call_8219"/>
    <s v="C0014"/>
    <n v="79"/>
    <s v="R03"/>
    <d v="2023-12-01T00:00:00"/>
    <n v="115"/>
    <n v="2.2999999999999998"/>
    <n v="2024"/>
    <s v="Friday"/>
    <s v="1 to 2 hours"/>
    <n v="2"/>
  </r>
  <r>
    <s v="Call_8220"/>
    <s v="C0004"/>
    <n v="133"/>
    <s v="R04"/>
    <d v="2023-12-01T00:00:00"/>
    <n v="45"/>
    <n v="2.6"/>
    <n v="2024"/>
    <s v="Friday"/>
    <s v="More than 2 hours"/>
    <n v="3"/>
  </r>
  <r>
    <s v="Call_8221"/>
    <s v="C0010"/>
    <n v="97"/>
    <s v="R05"/>
    <d v="2023-12-01T00:00:00"/>
    <n v="114"/>
    <n v="4.8"/>
    <n v="2024"/>
    <s v="Friday"/>
    <s v="1 to 2 hours"/>
    <n v="5"/>
  </r>
  <r>
    <s v="Call_8222"/>
    <s v="C0014"/>
    <n v="102"/>
    <s v="R02"/>
    <d v="2023-12-02T00:00:00"/>
    <n v="72"/>
    <n v="3.7"/>
    <n v="2024"/>
    <s v="Saturday"/>
    <s v="1 to 2 hours"/>
    <n v="4"/>
  </r>
  <r>
    <s v="Call_8223"/>
    <s v="C0006"/>
    <n v="62"/>
    <s v="R05"/>
    <d v="2023-12-02T00:00:00"/>
    <n v="205"/>
    <n v="4.2"/>
    <n v="2024"/>
    <s v="Saturday"/>
    <s v="1 to 2 hours"/>
    <n v="4"/>
  </r>
  <r>
    <s v="Call_8224"/>
    <s v="C0004"/>
    <n v="149"/>
    <s v="R02"/>
    <d v="2023-12-03T00:00:00"/>
    <n v="42"/>
    <n v="3.3"/>
    <n v="2024"/>
    <s v="Sunday"/>
    <s v="More than 2 hours"/>
    <n v="3"/>
  </r>
  <r>
    <s v="Call_8225"/>
    <s v="C0013"/>
    <n v="133"/>
    <s v="R05"/>
    <d v="2023-12-03T00:00:00"/>
    <n v="96"/>
    <n v="4.3"/>
    <n v="2024"/>
    <s v="Sunday"/>
    <s v="More than 2 hours"/>
    <n v="4"/>
  </r>
  <r>
    <s v="Call_8226"/>
    <s v="C0014"/>
    <n v="51"/>
    <s v="R03"/>
    <d v="2023-12-03T00:00:00"/>
    <n v="64"/>
    <n v="3.7"/>
    <n v="2024"/>
    <s v="Sunday"/>
    <s v="30 to 60 mins"/>
    <n v="4"/>
  </r>
  <r>
    <s v="Call_8227"/>
    <s v="C0006"/>
    <n v="110"/>
    <s v="R05"/>
    <d v="2023-12-04T00:00:00"/>
    <n v="72"/>
    <n v="3.7"/>
    <n v="2024"/>
    <s v="Monday"/>
    <s v="1 to 2 hours"/>
    <n v="4"/>
  </r>
  <r>
    <s v="Call_8228"/>
    <s v="C0010"/>
    <n v="38"/>
    <s v="R04"/>
    <d v="2023-12-05T00:00:00"/>
    <n v="27"/>
    <n v="3.1"/>
    <n v="2024"/>
    <s v="Tuesday"/>
    <s v="30 to 60 mins"/>
    <n v="3"/>
  </r>
  <r>
    <s v="Call_8229"/>
    <s v="C0013"/>
    <n v="78"/>
    <s v="R04"/>
    <d v="2023-12-07T00:00:00"/>
    <n v="200"/>
    <n v="2.4"/>
    <n v="2024"/>
    <s v="Thursday"/>
    <s v="1 to 2 hours"/>
    <n v="2"/>
  </r>
  <r>
    <s v="Call_8230"/>
    <s v="C0010"/>
    <n v="25"/>
    <s v="R02"/>
    <d v="2023-12-08T00:00:00"/>
    <n v="93"/>
    <n v="3.5"/>
    <n v="2024"/>
    <s v="Friday"/>
    <s v="10 to 30 mins"/>
    <n v="4"/>
  </r>
  <r>
    <s v="Call_8231"/>
    <s v="C0012"/>
    <n v="50"/>
    <s v="R03"/>
    <d v="2023-12-08T00:00:00"/>
    <n v="54"/>
    <n v="4.3"/>
    <n v="2024"/>
    <s v="Friday"/>
    <s v="30 to 60 mins"/>
    <n v="4"/>
  </r>
  <r>
    <s v="Call_8232"/>
    <s v="C0010"/>
    <n v="103"/>
    <s v="R02"/>
    <d v="2023-12-09T00:00:00"/>
    <n v="72"/>
    <n v="3.4"/>
    <n v="2024"/>
    <s v="Saturday"/>
    <s v="1 to 2 hours"/>
    <n v="3"/>
  </r>
  <r>
    <s v="Call_8233"/>
    <s v="C0009"/>
    <n v="63"/>
    <s v="R01"/>
    <d v="2023-12-09T00:00:00"/>
    <n v="82"/>
    <n v="3.7"/>
    <n v="2024"/>
    <s v="Saturday"/>
    <s v="1 to 2 hours"/>
    <n v="4"/>
  </r>
  <r>
    <s v="Call_8234"/>
    <s v="C0012"/>
    <n v="96"/>
    <s v="R03"/>
    <d v="2023-12-13T00:00:00"/>
    <n v="164"/>
    <n v="4.8"/>
    <n v="2024"/>
    <s v="Wednesday"/>
    <s v="1 to 2 hours"/>
    <n v="5"/>
  </r>
  <r>
    <s v="Call_8235"/>
    <s v="C0005"/>
    <n v="94"/>
    <s v="R02"/>
    <d v="2023-12-13T00:00:00"/>
    <n v="78"/>
    <n v="3.3"/>
    <n v="2024"/>
    <s v="Wednesday"/>
    <s v="1 to 2 hours"/>
    <n v="3"/>
  </r>
  <r>
    <s v="Call_8236"/>
    <s v="C0006"/>
    <n v="46"/>
    <s v="R04"/>
    <d v="2023-12-14T00:00:00"/>
    <n v="135"/>
    <n v="4.2"/>
    <n v="2024"/>
    <s v="Thursday"/>
    <s v="30 to 60 mins"/>
    <n v="4"/>
  </r>
  <r>
    <s v="Call_8237"/>
    <s v="C0008"/>
    <n v="127"/>
    <s v="R03"/>
    <d v="2023-12-15T00:00:00"/>
    <n v="145"/>
    <n v="2.6"/>
    <n v="2024"/>
    <s v="Friday"/>
    <s v="More than 2 hours"/>
    <n v="3"/>
  </r>
  <r>
    <s v="Call_8238"/>
    <s v="C0007"/>
    <n v="96"/>
    <s v="R04"/>
    <d v="2023-12-15T00:00:00"/>
    <n v="115"/>
    <n v="4.9000000000000004"/>
    <n v="2024"/>
    <s v="Friday"/>
    <s v="1 to 2 hours"/>
    <n v="5"/>
  </r>
  <r>
    <s v="Call_8239"/>
    <s v="C0001"/>
    <n v="151"/>
    <s v="R02"/>
    <d v="2023-12-15T00:00:00"/>
    <n v="117"/>
    <n v="2"/>
    <n v="2024"/>
    <s v="Friday"/>
    <s v="More than 2 hours"/>
    <n v="2"/>
  </r>
  <r>
    <s v="Call_8240"/>
    <s v="C0008"/>
    <n v="158"/>
    <s v="R05"/>
    <d v="2023-12-16T00:00:00"/>
    <n v="36"/>
    <n v="4.7"/>
    <n v="2024"/>
    <s v="Saturday"/>
    <s v="More than 2 hours"/>
    <n v="5"/>
  </r>
  <r>
    <s v="Call_8241"/>
    <s v="C0005"/>
    <n v="45"/>
    <s v="R05"/>
    <d v="2023-12-16T00:00:00"/>
    <n v="84"/>
    <n v="2.8"/>
    <n v="2024"/>
    <s v="Saturday"/>
    <s v="30 to 60 mins"/>
    <n v="3"/>
  </r>
  <r>
    <s v="Call_8242"/>
    <s v="C0002"/>
    <n v="141"/>
    <s v="R05"/>
    <d v="2023-12-16T00:00:00"/>
    <n v="66"/>
    <n v="3.2"/>
    <n v="2024"/>
    <s v="Saturday"/>
    <s v="More than 2 hours"/>
    <n v="3"/>
  </r>
  <r>
    <s v="Call_8243"/>
    <s v="C0010"/>
    <n v="147"/>
    <s v="R04"/>
    <d v="2023-12-16T00:00:00"/>
    <n v="76"/>
    <n v="4.7"/>
    <n v="2024"/>
    <s v="Saturday"/>
    <s v="More than 2 hours"/>
    <n v="5"/>
  </r>
  <r>
    <s v="Call_8244"/>
    <s v="C0015"/>
    <n v="126"/>
    <s v="R04"/>
    <d v="2023-12-16T00:00:00"/>
    <n v="185"/>
    <n v="4.8"/>
    <n v="2024"/>
    <s v="Saturday"/>
    <s v="More than 2 hours"/>
    <n v="5"/>
  </r>
  <r>
    <s v="Call_8245"/>
    <s v="C0005"/>
    <n v="126"/>
    <s v="R01"/>
    <d v="2023-12-17T00:00:00"/>
    <n v="80"/>
    <n v="4.7"/>
    <n v="2024"/>
    <s v="Sunday"/>
    <s v="More than 2 hours"/>
    <n v="5"/>
  </r>
  <r>
    <s v="Call_8246"/>
    <s v="C0013"/>
    <n v="32"/>
    <s v="R04"/>
    <d v="2023-12-17T00:00:00"/>
    <n v="148"/>
    <n v="4"/>
    <n v="2024"/>
    <s v="Sunday"/>
    <s v="30 to 60 mins"/>
    <n v="4"/>
  </r>
  <r>
    <s v="Call_8247"/>
    <s v="C0005"/>
    <n v="84"/>
    <s v="R03"/>
    <d v="2023-12-19T00:00:00"/>
    <n v="180"/>
    <n v="4.9000000000000004"/>
    <n v="2024"/>
    <s v="Tuesday"/>
    <s v="1 to 2 hours"/>
    <n v="5"/>
  </r>
  <r>
    <s v="Call_8248"/>
    <s v="C0009"/>
    <n v="120"/>
    <s v="R01"/>
    <d v="2023-12-20T00:00:00"/>
    <n v="190"/>
    <n v="3.7"/>
    <n v="2024"/>
    <s v="Wednesday"/>
    <s v="1 to 2 hours"/>
    <n v="4"/>
  </r>
  <r>
    <s v="Call_8249"/>
    <s v="C0011"/>
    <n v="93"/>
    <s v="R04"/>
    <d v="2023-12-20T00:00:00"/>
    <n v="38"/>
    <n v="4.5"/>
    <n v="2024"/>
    <s v="Wednesday"/>
    <s v="1 to 2 hours"/>
    <n v="5"/>
  </r>
  <r>
    <s v="Call_8250"/>
    <s v="C0007"/>
    <n v="76"/>
    <s v="R02"/>
    <d v="2023-12-21T00:00:00"/>
    <n v="82"/>
    <n v="2.1"/>
    <n v="2024"/>
    <s v="Thursday"/>
    <s v="1 to 2 hours"/>
    <n v="2"/>
  </r>
  <r>
    <s v="Call_8251"/>
    <s v="C0008"/>
    <n v="89"/>
    <s v="R04"/>
    <d v="2023-12-24T00:00:00"/>
    <n v="88"/>
    <n v="2.8"/>
    <n v="2024"/>
    <s v="Sunday"/>
    <s v="1 to 2 hours"/>
    <n v="3"/>
  </r>
  <r>
    <s v="Call_8252"/>
    <s v="C0014"/>
    <n v="91"/>
    <s v="R03"/>
    <d v="2023-12-24T00:00:00"/>
    <n v="42"/>
    <n v="4.0999999999999996"/>
    <n v="2024"/>
    <s v="Sunday"/>
    <s v="1 to 2 hours"/>
    <n v="4"/>
  </r>
  <r>
    <s v="Call_8253"/>
    <s v="C0006"/>
    <n v="7"/>
    <s v="R05"/>
    <d v="2023-12-25T00:00:00"/>
    <n v="64"/>
    <n v="3.3"/>
    <n v="2024"/>
    <s v="Monday"/>
    <s v="Under 10 mins"/>
    <n v="3"/>
  </r>
  <r>
    <s v="Call_8254"/>
    <s v="C0013"/>
    <n v="140"/>
    <s v="R05"/>
    <d v="2023-12-25T00:00:00"/>
    <n v="105"/>
    <n v="1.7"/>
    <n v="2024"/>
    <s v="Monday"/>
    <s v="More than 2 hours"/>
    <n v="2"/>
  </r>
  <r>
    <s v="Call_8255"/>
    <s v="C0004"/>
    <n v="58"/>
    <s v="R01"/>
    <d v="2023-12-25T00:00:00"/>
    <n v="25"/>
    <n v="3.6"/>
    <n v="2024"/>
    <s v="Monday"/>
    <s v="30 to 60 mins"/>
    <n v="4"/>
  </r>
  <r>
    <s v="Call_8256"/>
    <s v="C0003"/>
    <n v="90"/>
    <s v="R02"/>
    <d v="2023-12-26T00:00:00"/>
    <n v="176"/>
    <n v="3.6"/>
    <n v="2024"/>
    <s v="Tuesday"/>
    <s v="1 to 2 hours"/>
    <n v="4"/>
  </r>
  <r>
    <s v="Call_8257"/>
    <s v="C0003"/>
    <n v="106"/>
    <s v="R04"/>
    <d v="2023-12-27T00:00:00"/>
    <n v="46"/>
    <n v="4.5999999999999996"/>
    <n v="2024"/>
    <s v="Wednesday"/>
    <s v="1 to 2 hours"/>
    <n v="5"/>
  </r>
  <r>
    <s v="Call_8258"/>
    <s v="C0009"/>
    <n v="72"/>
    <s v="R05"/>
    <d v="2023-12-27T00:00:00"/>
    <n v="164"/>
    <n v="4.8"/>
    <n v="2024"/>
    <s v="Wednesday"/>
    <s v="1 to 2 hours"/>
    <n v="5"/>
  </r>
  <r>
    <s v="Call_8259"/>
    <s v="C0006"/>
    <n v="124"/>
    <s v="R05"/>
    <d v="2023-12-28T00:00:00"/>
    <n v="64"/>
    <n v="4.5"/>
    <n v="2024"/>
    <s v="Thursday"/>
    <s v="More than 2 hours"/>
    <n v="5"/>
  </r>
  <r>
    <s v="Call_8260"/>
    <s v="C0002"/>
    <n v="86"/>
    <s v="R03"/>
    <d v="2023-12-28T00:00:00"/>
    <n v="205"/>
    <n v="4.5"/>
    <n v="2024"/>
    <s v="Thursday"/>
    <s v="1 to 2 hours"/>
    <n v="5"/>
  </r>
  <r>
    <s v="Call_8261"/>
    <s v="C0005"/>
    <n v="164"/>
    <s v="R03"/>
    <d v="2023-12-29T00:00:00"/>
    <n v="100"/>
    <n v="4.5999999999999996"/>
    <n v="2024"/>
    <s v="Friday"/>
    <s v="More than 2 hours"/>
    <n v="5"/>
  </r>
  <r>
    <s v="Call_8262"/>
    <s v="C0011"/>
    <n v="40"/>
    <s v="R02"/>
    <d v="2023-12-29T00:00:00"/>
    <n v="111"/>
    <n v="4.5999999999999996"/>
    <n v="2024"/>
    <s v="Friday"/>
    <s v="30 to 60 mins"/>
    <n v="5"/>
  </r>
  <r>
    <s v="Call_8263"/>
    <s v="C0014"/>
    <n v="76"/>
    <s v="R01"/>
    <d v="2023-12-29T00:00:00"/>
    <n v="80"/>
    <n v="3.5"/>
    <n v="2024"/>
    <s v="Friday"/>
    <s v="1 to 2 hours"/>
    <n v="4"/>
  </r>
  <r>
    <s v="Call_8264"/>
    <s v="C0006"/>
    <n v="95"/>
    <s v="R04"/>
    <d v="2023-12-29T00:00:00"/>
    <n v="50"/>
    <n v="2.9"/>
    <n v="2024"/>
    <s v="Friday"/>
    <s v="1 to 2 hours"/>
    <n v="3"/>
  </r>
  <r>
    <s v="Call_8265"/>
    <s v="C0014"/>
    <n v="113"/>
    <s v="R05"/>
    <d v="2023-12-30T00:00:00"/>
    <n v="165"/>
    <n v="4.7"/>
    <n v="2024"/>
    <s v="Saturday"/>
    <s v="1 to 2 hours"/>
    <n v="5"/>
  </r>
  <r>
    <s v="Call_8266"/>
    <s v="C0002"/>
    <n v="81"/>
    <s v="R05"/>
    <d v="2023-12-30T00:00:00"/>
    <n v="28"/>
    <n v="3.9"/>
    <n v="2024"/>
    <s v="Saturday"/>
    <s v="1 to 2 hours"/>
    <n v="4"/>
  </r>
  <r>
    <s v="Call_8267"/>
    <s v="C0007"/>
    <n v="127"/>
    <s v="R04"/>
    <d v="2023-12-30T00:00:00"/>
    <n v="215"/>
    <n v="3.8"/>
    <n v="2024"/>
    <s v="Saturday"/>
    <s v="More than 2 hours"/>
    <n v="4"/>
  </r>
  <r>
    <s v="Call_8268"/>
    <s v="C0013"/>
    <n v="146"/>
    <s v="R05"/>
    <d v="2023-12-31T00:00:00"/>
    <n v="115"/>
    <n v="2.2999999999999998"/>
    <n v="2024"/>
    <s v="Sunday"/>
    <s v="More than 2 hours"/>
    <n v="2"/>
  </r>
  <r>
    <s v="Call_8269"/>
    <s v="C0010"/>
    <n v="123"/>
    <s v="R05"/>
    <d v="2023-12-31T00:00:00"/>
    <n v="64"/>
    <n v="3.7"/>
    <n v="2024"/>
    <s v="Sunday"/>
    <s v="More than 2 hours"/>
    <n v="4"/>
  </r>
  <r>
    <s v="Call_8270"/>
    <s v="C0009"/>
    <n v="114"/>
    <s v="R01"/>
    <d v="2023-12-31T00:00:00"/>
    <n v="40"/>
    <n v="3.9"/>
    <n v="2024"/>
    <s v="Sunday"/>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AE6FA-AB9C-448E-90DD-A560D1D42DFB}" name="rep amount"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K58:Q7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91FB0-468C-4FFF-A58D-DD6D6829376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C75" firstHeaderRow="1" firstDataRow="1" firstDataCol="0"/>
  <pivotFields count="11">
    <pivotField showAll="0"/>
    <pivotField showAll="0"/>
    <pivotField showAll="0"/>
    <pivotField showAll="0"/>
    <pivotField numFmtId="16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0E6926-535F-451A-AE6E-EBEBD2CA1DDE}" name="rep satisfaction"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66:F7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2F4757-D9D8-4175-BBA3-444896ACF853}"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17:G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71A3C0-30BC-4B22-9408-AF41157A1F69}" name="summary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25DF6-44A9-457F-A736-F4C978FBE739}" name="selected rep"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4:A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60D3DA-1FEC-4961-8633-01951E86F43E}" name="PivotTable1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E58:H6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E5D42C-6C89-448C-85EF-D8712F5CFA48}" name="rep tab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4:C5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F946FE-A932-4082-8E86-2148671E31F9}"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B90940-1DAF-41E4-BD37-996A9102A7BB}" name="rep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suit and tie
Description automatically generated</v>
  </rv>
  <rv s="0">
    <v>1</v>
    <v>5</v>
    <v>A person in a skirt and a cardigan
Description automatically generated</v>
  </rv>
  <rv s="0">
    <v>0</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E497BC6-E922-400A-B315-A4FE4E9A9A29}" sourceName="[calls].[Representative]">
  <pivotTables>
    <pivotTable tabId="6" name="rep pivot"/>
    <pivotTable tabId="6" name="monthly trend"/>
    <pivotTable tabId="6" name="PivotTable8"/>
    <pivotTable tabId="6" name="selected rep"/>
    <pivotTable tabId="6" name="rep satisfaction"/>
  </pivotTables>
  <data>
    <olap pivotCacheId="46432629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 xr10:uid="{69D3A93C-6B5D-43ED-8250-DED169BDE8BC}" cache="Slicer_Representative" caption="Representative" showCaption="0" level="1" style="SlicerStyleDark5 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8E5C-875B-449B-B015-2D9BB1CBB39B}">
  <dimension ref="A1:AT266"/>
  <sheetViews>
    <sheetView tabSelected="1" zoomScaleNormal="100" workbookViewId="0">
      <selection activeCell="Y19" sqref="Y19"/>
    </sheetView>
  </sheetViews>
  <sheetFormatPr baseColWidth="10" defaultColWidth="8.83203125" defaultRowHeight="15" x14ac:dyDescent="0.2"/>
  <cols>
    <col min="1" max="1" width="2.6640625" customWidth="1"/>
    <col min="2" max="2" width="6.1640625" customWidth="1"/>
    <col min="3" max="3" width="14.1640625" customWidth="1"/>
    <col min="4" max="4" width="18.1640625" customWidth="1"/>
    <col min="6" max="6" width="8.1640625" customWidth="1"/>
    <col min="11" max="11" width="7.5" customWidth="1"/>
    <col min="12" max="12" width="12" customWidth="1"/>
    <col min="13" max="13" width="11.5" customWidth="1"/>
    <col min="15" max="15" width="10.6640625" customWidth="1"/>
    <col min="16" max="16" width="9" customWidth="1"/>
    <col min="20" max="20" width="9" customWidth="1"/>
  </cols>
  <sheetData>
    <row r="1" spans="1:46" s="49" customFormat="1" ht="79" customHeight="1" x14ac:dyDescent="0.3">
      <c r="A1" s="51" t="s">
        <v>1084</v>
      </c>
      <c r="B1" s="50"/>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row>
    <row r="2" spans="1:46"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row>
    <row r="3" spans="1:46" x14ac:dyDescent="0.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row>
    <row r="4" spans="1:46" x14ac:dyDescent="0.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row>
    <row r="5" spans="1:46"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row>
    <row r="6" spans="1:46"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row>
    <row r="7" spans="1:46" x14ac:dyDescent="0.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row>
    <row r="8" spans="1:46" x14ac:dyDescent="0.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row>
    <row r="9" spans="1:46" x14ac:dyDescent="0.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row>
    <row r="10" spans="1:46" x14ac:dyDescent="0.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row>
    <row r="11" spans="1:46" x14ac:dyDescent="0.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row>
    <row r="12" spans="1:46"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row>
    <row r="13" spans="1:46"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row>
    <row r="14" spans="1:46"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row>
    <row r="15" spans="1:46" x14ac:dyDescent="0.2">
      <c r="A15" s="20"/>
      <c r="B15" s="20"/>
      <c r="C15" s="20"/>
      <c r="D15" s="20"/>
      <c r="E15" s="20"/>
      <c r="F15" s="20"/>
      <c r="G15" s="20"/>
      <c r="H15" s="20"/>
      <c r="I15" s="20"/>
      <c r="J15" s="20"/>
      <c r="K15" s="20"/>
      <c r="L15" s="20"/>
      <c r="M15" s="20"/>
      <c r="N15" s="20"/>
      <c r="O15" s="20"/>
      <c r="P15" s="20"/>
      <c r="Q15" s="39"/>
      <c r="R15" s="43" t="str" cm="1">
        <f t="array" ref="R15:V15">pivots!L59:P59</f>
        <v>R01</v>
      </c>
      <c r="S15" s="43" t="str">
        <v>R02</v>
      </c>
      <c r="T15" s="43" t="str">
        <v>R03</v>
      </c>
      <c r="U15" s="43" t="str">
        <v>R04</v>
      </c>
      <c r="V15" s="43" t="str">
        <v>R05</v>
      </c>
      <c r="W15" s="43" t="s">
        <v>1077</v>
      </c>
      <c r="X15" s="20"/>
      <c r="Y15" s="20"/>
      <c r="Z15" s="20"/>
      <c r="AA15" s="20"/>
      <c r="AB15" s="20"/>
      <c r="AC15" s="20"/>
      <c r="AD15" s="20"/>
      <c r="AE15" s="20"/>
      <c r="AF15" s="20"/>
      <c r="AG15" s="20"/>
      <c r="AH15" s="20"/>
      <c r="AI15" s="20"/>
      <c r="AJ15" s="20"/>
      <c r="AK15" s="20"/>
      <c r="AL15" s="20"/>
      <c r="AM15" s="20"/>
      <c r="AN15" s="20"/>
      <c r="AO15" s="20"/>
      <c r="AP15" s="20"/>
      <c r="AQ15" s="20"/>
      <c r="AR15" s="20"/>
      <c r="AS15" s="20"/>
      <c r="AT15" s="20"/>
    </row>
    <row r="16" spans="1:46" x14ac:dyDescent="0.2">
      <c r="A16" s="20"/>
      <c r="B16" s="20"/>
      <c r="C16" s="20"/>
      <c r="D16" s="20"/>
      <c r="E16" s="20"/>
      <c r="F16" s="20"/>
      <c r="G16" s="20"/>
      <c r="H16" s="20"/>
      <c r="I16" s="20"/>
      <c r="J16" s="20"/>
      <c r="K16" s="20"/>
      <c r="L16" s="20"/>
      <c r="M16" s="20"/>
      <c r="N16" s="20"/>
      <c r="O16" s="20"/>
      <c r="P16" s="20"/>
      <c r="Q16" s="44" t="str" cm="1">
        <f t="array" ref="Q16:W33">IF(pivots!K60:Q77="","",pivots!K60:Q77)</f>
        <v>Cincinnati</v>
      </c>
      <c r="R16" s="40" t="str">
        <v/>
      </c>
      <c r="S16" s="40" t="str">
        <v/>
      </c>
      <c r="T16" s="40" t="str">
        <v/>
      </c>
      <c r="U16" s="40" t="str">
        <v/>
      </c>
      <c r="V16" s="40" t="str">
        <v/>
      </c>
      <c r="W16" s="40" t="str">
        <v/>
      </c>
      <c r="X16" s="20"/>
      <c r="Y16" s="20"/>
      <c r="Z16" s="20"/>
      <c r="AA16" s="20"/>
      <c r="AB16" s="20"/>
      <c r="AC16" s="20"/>
      <c r="AD16" s="20"/>
      <c r="AE16" s="20"/>
      <c r="AF16" s="20"/>
      <c r="AG16" s="20"/>
      <c r="AH16" s="20"/>
      <c r="AI16" s="20"/>
      <c r="AJ16" s="20"/>
      <c r="AK16" s="20"/>
      <c r="AL16" s="20"/>
      <c r="AM16" s="20"/>
      <c r="AN16" s="20"/>
      <c r="AO16" s="20"/>
      <c r="AP16" s="20"/>
      <c r="AQ16" s="20"/>
      <c r="AR16" s="20"/>
      <c r="AS16" s="20"/>
      <c r="AT16" s="20"/>
    </row>
    <row r="17" spans="1:46" x14ac:dyDescent="0.2">
      <c r="A17" s="20"/>
      <c r="B17" s="20"/>
      <c r="C17" s="20"/>
      <c r="D17" s="20"/>
      <c r="E17" s="20"/>
      <c r="F17" s="20"/>
      <c r="G17" s="20"/>
      <c r="H17" s="20"/>
      <c r="I17" s="20"/>
      <c r="J17" s="20"/>
      <c r="K17" s="20"/>
      <c r="L17" s="20"/>
      <c r="M17" s="20"/>
      <c r="N17" s="20"/>
      <c r="O17" s="20"/>
      <c r="P17" s="20"/>
      <c r="Q17" s="41" t="str">
        <v>C0003</v>
      </c>
      <c r="R17" s="42">
        <v>891</v>
      </c>
      <c r="S17" s="42">
        <v>1332</v>
      </c>
      <c r="T17" s="42">
        <v>1282</v>
      </c>
      <c r="U17" s="42">
        <v>739</v>
      </c>
      <c r="V17" s="42">
        <v>560</v>
      </c>
      <c r="W17" s="42">
        <v>4804</v>
      </c>
      <c r="X17" s="20"/>
      <c r="Y17" s="20"/>
      <c r="Z17" s="20"/>
      <c r="AA17" s="20"/>
      <c r="AB17" s="20"/>
      <c r="AC17" s="20"/>
      <c r="AD17" s="20"/>
      <c r="AE17" s="20"/>
      <c r="AF17" s="20"/>
      <c r="AG17" s="20"/>
      <c r="AH17" s="20"/>
      <c r="AI17" s="20"/>
      <c r="AJ17" s="20"/>
      <c r="AK17" s="20"/>
      <c r="AL17" s="20"/>
      <c r="AM17" s="20"/>
      <c r="AN17" s="20"/>
      <c r="AO17" s="20"/>
      <c r="AP17" s="20"/>
      <c r="AQ17" s="20"/>
      <c r="AR17" s="20"/>
      <c r="AS17" s="20"/>
      <c r="AT17" s="20"/>
    </row>
    <row r="18" spans="1:46" x14ac:dyDescent="0.2">
      <c r="A18" s="20"/>
      <c r="B18" s="20"/>
      <c r="C18" s="20"/>
      <c r="D18" s="20"/>
      <c r="E18" s="20"/>
      <c r="F18" s="20"/>
      <c r="G18" s="20"/>
      <c r="H18" s="20"/>
      <c r="I18" s="20"/>
      <c r="J18" s="20"/>
      <c r="K18" s="20"/>
      <c r="L18" s="20"/>
      <c r="M18" s="20"/>
      <c r="N18" s="20"/>
      <c r="O18" s="20"/>
      <c r="P18" s="20"/>
      <c r="Q18" s="41" t="str">
        <v>C0004</v>
      </c>
      <c r="R18" s="42">
        <v>1991</v>
      </c>
      <c r="S18" s="42">
        <v>1886</v>
      </c>
      <c r="T18" s="42">
        <v>1206</v>
      </c>
      <c r="U18" s="42">
        <v>884</v>
      </c>
      <c r="V18" s="42">
        <v>1722</v>
      </c>
      <c r="W18" s="42">
        <v>7689</v>
      </c>
      <c r="X18" s="20"/>
      <c r="Y18" s="20"/>
      <c r="Z18" s="20"/>
      <c r="AA18" s="20"/>
      <c r="AB18" s="20"/>
      <c r="AC18" s="20"/>
      <c r="AD18" s="20"/>
      <c r="AE18" s="20"/>
      <c r="AF18" s="20"/>
      <c r="AG18" s="20"/>
      <c r="AH18" s="20"/>
      <c r="AI18" s="20"/>
      <c r="AJ18" s="20"/>
      <c r="AK18" s="20"/>
      <c r="AL18" s="20"/>
      <c r="AM18" s="20"/>
      <c r="AN18" s="20"/>
      <c r="AO18" s="20"/>
      <c r="AP18" s="20"/>
      <c r="AQ18" s="20"/>
      <c r="AR18" s="20"/>
      <c r="AS18" s="20"/>
      <c r="AT18" s="20"/>
    </row>
    <row r="19" spans="1:46" x14ac:dyDescent="0.2">
      <c r="A19" s="20"/>
      <c r="B19" s="20"/>
      <c r="C19" s="20"/>
      <c r="D19" s="20"/>
      <c r="E19" s="20"/>
      <c r="F19" s="20"/>
      <c r="G19" s="20"/>
      <c r="H19" s="20"/>
      <c r="I19" s="20"/>
      <c r="J19" s="20"/>
      <c r="K19" s="20"/>
      <c r="L19" s="20"/>
      <c r="M19" s="20"/>
      <c r="N19" s="20"/>
      <c r="O19" s="20"/>
      <c r="P19" s="20"/>
      <c r="Q19" s="41" t="str">
        <v>C0011</v>
      </c>
      <c r="R19" s="42">
        <v>1163</v>
      </c>
      <c r="S19" s="42">
        <v>1180</v>
      </c>
      <c r="T19" s="42">
        <v>1616</v>
      </c>
      <c r="U19" s="42">
        <v>1043</v>
      </c>
      <c r="V19" s="42">
        <v>1747</v>
      </c>
      <c r="W19" s="42">
        <v>6749</v>
      </c>
      <c r="X19" s="20"/>
      <c r="Y19" s="20"/>
      <c r="Z19" s="20"/>
      <c r="AA19" s="20"/>
      <c r="AB19" s="20"/>
      <c r="AC19" s="20"/>
      <c r="AD19" s="20"/>
      <c r="AE19" s="20"/>
      <c r="AF19" s="20"/>
      <c r="AG19" s="20"/>
      <c r="AH19" s="20"/>
      <c r="AI19" s="20"/>
      <c r="AJ19" s="20"/>
      <c r="AK19" s="20"/>
      <c r="AL19" s="20"/>
      <c r="AM19" s="20"/>
      <c r="AN19" s="20"/>
      <c r="AO19" s="20"/>
      <c r="AP19" s="20"/>
      <c r="AQ19" s="20"/>
      <c r="AR19" s="20"/>
      <c r="AS19" s="20"/>
      <c r="AT19" s="20"/>
    </row>
    <row r="20" spans="1:46" x14ac:dyDescent="0.2">
      <c r="A20" s="20"/>
      <c r="B20" s="20"/>
      <c r="C20" s="20"/>
      <c r="D20" s="20"/>
      <c r="E20" s="20"/>
      <c r="F20" s="20"/>
      <c r="G20" s="20"/>
      <c r="H20" s="20"/>
      <c r="I20" s="20"/>
      <c r="J20" s="20"/>
      <c r="K20" s="20"/>
      <c r="L20" s="20"/>
      <c r="M20" s="20"/>
      <c r="N20" s="20"/>
      <c r="O20" s="20"/>
      <c r="P20" s="20"/>
      <c r="Q20" s="41" t="str">
        <v>C0012</v>
      </c>
      <c r="R20" s="42">
        <v>1438</v>
      </c>
      <c r="S20" s="42">
        <v>1616</v>
      </c>
      <c r="T20" s="42">
        <v>866</v>
      </c>
      <c r="U20" s="42">
        <v>829</v>
      </c>
      <c r="V20" s="42">
        <v>2070</v>
      </c>
      <c r="W20" s="42">
        <v>6819</v>
      </c>
      <c r="X20" s="20"/>
      <c r="Y20" s="20"/>
      <c r="Z20" s="20"/>
      <c r="AA20" s="20"/>
      <c r="AB20" s="20"/>
      <c r="AC20" s="20"/>
      <c r="AD20" s="20"/>
      <c r="AE20" s="20"/>
      <c r="AF20" s="20"/>
      <c r="AG20" s="20"/>
      <c r="AH20" s="20"/>
      <c r="AI20" s="20"/>
      <c r="AJ20" s="20"/>
      <c r="AK20" s="20"/>
      <c r="AL20" s="20"/>
      <c r="AM20" s="20"/>
      <c r="AN20" s="20"/>
      <c r="AO20" s="20"/>
      <c r="AP20" s="20"/>
      <c r="AQ20" s="20"/>
      <c r="AR20" s="20"/>
      <c r="AS20" s="20"/>
      <c r="AT20" s="20"/>
    </row>
    <row r="21" spans="1:46" x14ac:dyDescent="0.2">
      <c r="A21" s="20"/>
      <c r="B21" s="20"/>
      <c r="C21" s="20"/>
      <c r="D21" s="20"/>
      <c r="E21" s="20"/>
      <c r="F21" s="20"/>
      <c r="G21" s="20"/>
      <c r="H21" s="20"/>
      <c r="I21" s="20"/>
      <c r="J21" s="20"/>
      <c r="K21" s="20"/>
      <c r="L21" s="20"/>
      <c r="M21" s="20"/>
      <c r="N21" s="20"/>
      <c r="O21" s="20"/>
      <c r="P21" s="20"/>
      <c r="Q21" s="44" t="str">
        <v>Cleveland</v>
      </c>
      <c r="R21" s="42" t="str">
        <v/>
      </c>
      <c r="S21" s="42" t="str">
        <v/>
      </c>
      <c r="T21" s="42" t="str">
        <v/>
      </c>
      <c r="U21" s="42" t="str">
        <v/>
      </c>
      <c r="V21" s="42" t="str">
        <v/>
      </c>
      <c r="W21" s="42" t="str">
        <v/>
      </c>
      <c r="X21" s="20"/>
      <c r="Y21" s="20"/>
      <c r="Z21" s="20"/>
      <c r="AA21" s="20"/>
      <c r="AB21" s="20"/>
      <c r="AC21" s="20"/>
      <c r="AD21" s="20"/>
      <c r="AE21" s="20"/>
      <c r="AF21" s="20"/>
      <c r="AG21" s="20"/>
      <c r="AH21" s="20"/>
      <c r="AI21" s="20"/>
      <c r="AJ21" s="20"/>
      <c r="AK21" s="20"/>
      <c r="AL21" s="20"/>
      <c r="AM21" s="20"/>
      <c r="AN21" s="20"/>
      <c r="AO21" s="20"/>
      <c r="AP21" s="20"/>
      <c r="AQ21" s="20"/>
      <c r="AR21" s="20"/>
      <c r="AS21" s="20"/>
      <c r="AT21" s="20"/>
    </row>
    <row r="22" spans="1:46" x14ac:dyDescent="0.2">
      <c r="A22" s="20"/>
      <c r="B22" s="20"/>
      <c r="C22" s="20"/>
      <c r="D22" s="20"/>
      <c r="E22" s="20"/>
      <c r="F22" s="20"/>
      <c r="G22" s="20"/>
      <c r="H22" s="20"/>
      <c r="I22" s="20"/>
      <c r="J22" s="20"/>
      <c r="K22" s="20"/>
      <c r="L22" s="20"/>
      <c r="M22" s="20"/>
      <c r="N22" s="20"/>
      <c r="O22" s="20"/>
      <c r="P22" s="20"/>
      <c r="Q22" s="41" t="str">
        <v>C0002</v>
      </c>
      <c r="R22" s="42">
        <v>1233</v>
      </c>
      <c r="S22" s="42">
        <v>223</v>
      </c>
      <c r="T22" s="42">
        <v>1680</v>
      </c>
      <c r="U22" s="42">
        <v>990</v>
      </c>
      <c r="V22" s="42">
        <v>1508</v>
      </c>
      <c r="W22" s="42">
        <v>5634</v>
      </c>
      <c r="X22" s="20"/>
      <c r="Y22" s="20"/>
      <c r="Z22" s="20"/>
      <c r="AA22" s="20"/>
      <c r="AB22" s="20"/>
      <c r="AC22" s="20"/>
      <c r="AD22" s="20"/>
      <c r="AE22" s="20"/>
      <c r="AF22" s="20"/>
      <c r="AG22" s="20"/>
      <c r="AH22" s="20"/>
      <c r="AI22" s="20"/>
      <c r="AJ22" s="20"/>
      <c r="AK22" s="20"/>
      <c r="AL22" s="20"/>
      <c r="AM22" s="20"/>
      <c r="AN22" s="20"/>
      <c r="AO22" s="20"/>
      <c r="AP22" s="20"/>
      <c r="AQ22" s="20"/>
      <c r="AR22" s="20"/>
      <c r="AS22" s="20"/>
      <c r="AT22" s="20"/>
    </row>
    <row r="23" spans="1:46" x14ac:dyDescent="0.2">
      <c r="A23" s="20"/>
      <c r="B23" s="20"/>
      <c r="C23" s="20"/>
      <c r="D23" s="20"/>
      <c r="E23" s="20"/>
      <c r="F23" s="20"/>
      <c r="G23" s="20"/>
      <c r="H23" s="20"/>
      <c r="I23" s="20"/>
      <c r="J23" s="20"/>
      <c r="K23" s="20"/>
      <c r="L23" s="20"/>
      <c r="M23" s="20"/>
      <c r="N23" s="20"/>
      <c r="O23" s="20"/>
      <c r="P23" s="20"/>
      <c r="Q23" s="41" t="str">
        <v>C0007</v>
      </c>
      <c r="R23" s="42">
        <v>1598</v>
      </c>
      <c r="S23" s="42">
        <v>1907</v>
      </c>
      <c r="T23" s="42">
        <v>869</v>
      </c>
      <c r="U23" s="42">
        <v>1426</v>
      </c>
      <c r="V23" s="42">
        <v>1416</v>
      </c>
      <c r="W23" s="42">
        <v>7216</v>
      </c>
      <c r="X23" s="20"/>
      <c r="Y23" s="20"/>
      <c r="Z23" s="20"/>
      <c r="AA23" s="20"/>
      <c r="AB23" s="20"/>
      <c r="AC23" s="20"/>
      <c r="AD23" s="20"/>
      <c r="AE23" s="20"/>
      <c r="AF23" s="20"/>
      <c r="AG23" s="20"/>
      <c r="AH23" s="20"/>
      <c r="AI23" s="20"/>
      <c r="AJ23" s="20"/>
      <c r="AK23" s="20"/>
      <c r="AL23" s="20"/>
      <c r="AM23" s="20"/>
      <c r="AN23" s="20"/>
      <c r="AO23" s="20"/>
      <c r="AP23" s="20"/>
      <c r="AQ23" s="20"/>
      <c r="AR23" s="20"/>
      <c r="AS23" s="20"/>
      <c r="AT23" s="20"/>
    </row>
    <row r="24" spans="1:46" x14ac:dyDescent="0.2">
      <c r="A24" s="20"/>
      <c r="B24" s="20"/>
      <c r="C24" s="20"/>
      <c r="D24" s="20"/>
      <c r="E24" s="20"/>
      <c r="F24" s="20"/>
      <c r="G24" s="20"/>
      <c r="H24" s="20"/>
      <c r="I24" s="20"/>
      <c r="J24" s="20"/>
      <c r="K24" s="20"/>
      <c r="L24" s="20"/>
      <c r="M24" s="20"/>
      <c r="N24" s="53" t="e" vm="1">
        <f>pivots!I19</f>
        <v>#VALUE!</v>
      </c>
      <c r="O24" s="53"/>
      <c r="P24" s="53"/>
      <c r="Q24" s="41" t="str">
        <v>C0008</v>
      </c>
      <c r="R24" s="42">
        <v>900</v>
      </c>
      <c r="S24" s="42">
        <v>1016</v>
      </c>
      <c r="T24" s="42">
        <v>960</v>
      </c>
      <c r="U24" s="42">
        <v>940</v>
      </c>
      <c r="V24" s="42">
        <v>1193</v>
      </c>
      <c r="W24" s="42">
        <v>5009</v>
      </c>
      <c r="X24" s="20"/>
      <c r="Y24" s="20"/>
      <c r="Z24" s="20"/>
      <c r="AA24" s="20"/>
      <c r="AB24" s="20"/>
      <c r="AC24" s="20"/>
      <c r="AD24" s="20"/>
      <c r="AE24" s="20"/>
      <c r="AF24" s="20"/>
      <c r="AG24" s="20"/>
      <c r="AH24" s="20"/>
      <c r="AI24" s="20"/>
      <c r="AJ24" s="20"/>
      <c r="AK24" s="20"/>
      <c r="AL24" s="20"/>
      <c r="AM24" s="20"/>
      <c r="AN24" s="20"/>
      <c r="AO24" s="20"/>
      <c r="AP24" s="20"/>
      <c r="AQ24" s="20"/>
      <c r="AR24" s="20"/>
      <c r="AS24" s="20"/>
      <c r="AT24" s="20"/>
    </row>
    <row r="25" spans="1:46" x14ac:dyDescent="0.2">
      <c r="A25" s="20"/>
      <c r="B25" s="20"/>
      <c r="C25" s="20"/>
      <c r="D25" s="20"/>
      <c r="E25" s="20"/>
      <c r="F25" s="20"/>
      <c r="G25" s="20"/>
      <c r="H25" s="20"/>
      <c r="I25" s="20"/>
      <c r="J25" s="20"/>
      <c r="K25" s="20"/>
      <c r="L25" s="20"/>
      <c r="M25" s="20"/>
      <c r="N25" s="53"/>
      <c r="O25" s="53"/>
      <c r="P25" s="53"/>
      <c r="Q25" s="41" t="str">
        <v>C0010</v>
      </c>
      <c r="R25" s="42">
        <v>900</v>
      </c>
      <c r="S25" s="42">
        <v>1470</v>
      </c>
      <c r="T25" s="42">
        <v>1617</v>
      </c>
      <c r="U25" s="42">
        <v>1314</v>
      </c>
      <c r="V25" s="42">
        <v>941</v>
      </c>
      <c r="W25" s="42">
        <v>6242</v>
      </c>
      <c r="X25" s="20"/>
      <c r="Y25" s="20"/>
      <c r="Z25" s="20"/>
      <c r="AA25" s="20"/>
      <c r="AB25" s="20"/>
      <c r="AC25" s="20"/>
      <c r="AD25" s="20"/>
      <c r="AE25" s="20"/>
      <c r="AF25" s="20"/>
      <c r="AG25" s="20"/>
      <c r="AH25" s="20"/>
      <c r="AI25" s="20"/>
      <c r="AJ25" s="20"/>
      <c r="AK25" s="20"/>
      <c r="AL25" s="20"/>
      <c r="AM25" s="20"/>
      <c r="AN25" s="20"/>
      <c r="AO25" s="20"/>
      <c r="AP25" s="20"/>
      <c r="AQ25" s="20"/>
      <c r="AR25" s="20"/>
      <c r="AS25" s="20"/>
      <c r="AT25" s="20"/>
    </row>
    <row r="26" spans="1:46" x14ac:dyDescent="0.2">
      <c r="A26" s="20"/>
      <c r="B26" s="20"/>
      <c r="C26" s="20"/>
      <c r="D26" s="20"/>
      <c r="E26" s="20"/>
      <c r="F26" s="20"/>
      <c r="G26" s="20"/>
      <c r="H26" s="20"/>
      <c r="I26" s="20"/>
      <c r="J26" s="20"/>
      <c r="K26" s="20"/>
      <c r="L26" s="20"/>
      <c r="M26" s="20"/>
      <c r="N26" s="53"/>
      <c r="O26" s="53"/>
      <c r="P26" s="53"/>
      <c r="Q26" s="41" t="str">
        <v>C0013</v>
      </c>
      <c r="R26" s="42">
        <v>1255</v>
      </c>
      <c r="S26" s="42">
        <v>516</v>
      </c>
      <c r="T26" s="42">
        <v>1874</v>
      </c>
      <c r="U26" s="42">
        <v>1863</v>
      </c>
      <c r="V26" s="42">
        <v>1722</v>
      </c>
      <c r="W26" s="42">
        <v>7230</v>
      </c>
      <c r="X26" s="20"/>
      <c r="Y26" s="20"/>
      <c r="Z26" s="20"/>
      <c r="AA26" s="20"/>
      <c r="AB26" s="20"/>
      <c r="AC26" s="20"/>
      <c r="AD26" s="20"/>
      <c r="AE26" s="20"/>
      <c r="AF26" s="20"/>
      <c r="AG26" s="20"/>
      <c r="AH26" s="20"/>
      <c r="AI26" s="20"/>
      <c r="AJ26" s="20"/>
      <c r="AK26" s="20"/>
      <c r="AL26" s="20"/>
      <c r="AM26" s="20"/>
      <c r="AN26" s="20"/>
      <c r="AO26" s="20"/>
      <c r="AP26" s="20"/>
      <c r="AQ26" s="20"/>
      <c r="AR26" s="20"/>
      <c r="AS26" s="20"/>
      <c r="AT26" s="20"/>
    </row>
    <row r="27" spans="1:46" x14ac:dyDescent="0.2">
      <c r="A27" s="20"/>
      <c r="B27" s="20"/>
      <c r="C27" s="20"/>
      <c r="D27" s="20"/>
      <c r="E27" s="20"/>
      <c r="F27" s="20"/>
      <c r="G27" s="20"/>
      <c r="H27" s="20"/>
      <c r="I27" s="20"/>
      <c r="J27" s="20"/>
      <c r="K27" s="20"/>
      <c r="L27" s="20"/>
      <c r="M27" s="20"/>
      <c r="N27" s="20"/>
      <c r="O27" s="52" t="str">
        <f>pivots!I16</f>
        <v>% of calls:22%</v>
      </c>
      <c r="P27" s="20"/>
      <c r="Q27" s="41" t="str">
        <v>C0015</v>
      </c>
      <c r="R27" s="42">
        <v>1138</v>
      </c>
      <c r="S27" s="42">
        <v>1898</v>
      </c>
      <c r="T27" s="42">
        <v>1482</v>
      </c>
      <c r="U27" s="42">
        <v>846</v>
      </c>
      <c r="V27" s="42">
        <v>1154</v>
      </c>
      <c r="W27" s="42">
        <v>6518</v>
      </c>
      <c r="X27" s="20"/>
      <c r="Y27" s="20"/>
      <c r="Z27" s="20"/>
      <c r="AA27" s="20"/>
      <c r="AB27" s="20"/>
      <c r="AC27" s="20"/>
      <c r="AD27" s="20"/>
      <c r="AE27" s="20"/>
      <c r="AF27" s="20"/>
      <c r="AG27" s="20"/>
      <c r="AH27" s="20"/>
      <c r="AI27" s="20"/>
      <c r="AJ27" s="20"/>
      <c r="AK27" s="20"/>
      <c r="AL27" s="20"/>
      <c r="AM27" s="20"/>
      <c r="AN27" s="20"/>
      <c r="AO27" s="20"/>
      <c r="AP27" s="20"/>
      <c r="AQ27" s="20"/>
      <c r="AR27" s="20"/>
      <c r="AS27" s="20"/>
      <c r="AT27" s="20"/>
    </row>
    <row r="28" spans="1:46" x14ac:dyDescent="0.2">
      <c r="A28" s="20"/>
      <c r="B28" s="20"/>
      <c r="C28" s="20"/>
      <c r="D28" s="20"/>
      <c r="E28" s="20"/>
      <c r="F28" s="20"/>
      <c r="G28" s="20"/>
      <c r="H28" s="20"/>
      <c r="I28" s="20"/>
      <c r="J28" s="20"/>
      <c r="K28" s="20"/>
      <c r="L28" s="20"/>
      <c r="M28" s="20"/>
      <c r="N28" s="20"/>
      <c r="O28" s="52" t="str">
        <f>pivots!I17</f>
        <v>Call Rank:1</v>
      </c>
      <c r="P28" s="20"/>
      <c r="Q28" s="44" t="str">
        <v>Columbus</v>
      </c>
      <c r="R28" s="42" t="str">
        <v/>
      </c>
      <c r="S28" s="42" t="str">
        <v/>
      </c>
      <c r="T28" s="42" t="str">
        <v/>
      </c>
      <c r="U28" s="42" t="str">
        <v/>
      </c>
      <c r="V28" s="42" t="str">
        <v/>
      </c>
      <c r="W28" s="42" t="str">
        <v/>
      </c>
      <c r="X28" s="20"/>
      <c r="Y28" s="20"/>
      <c r="Z28" s="20"/>
      <c r="AA28" s="20"/>
      <c r="AB28" s="20"/>
      <c r="AC28" s="20"/>
      <c r="AD28" s="20"/>
      <c r="AE28" s="20"/>
      <c r="AF28" s="20"/>
      <c r="AG28" s="20"/>
      <c r="AH28" s="20"/>
      <c r="AI28" s="20"/>
      <c r="AJ28" s="20"/>
      <c r="AK28" s="20"/>
      <c r="AL28" s="20"/>
      <c r="AM28" s="20"/>
      <c r="AN28" s="20"/>
      <c r="AO28" s="20"/>
      <c r="AP28" s="20"/>
      <c r="AQ28" s="20"/>
      <c r="AR28" s="20"/>
      <c r="AS28" s="20"/>
      <c r="AT28" s="20"/>
    </row>
    <row r="29" spans="1:46" x14ac:dyDescent="0.2">
      <c r="A29" s="20"/>
      <c r="B29" s="20"/>
      <c r="C29" s="20"/>
      <c r="D29" s="20"/>
      <c r="E29" s="20"/>
      <c r="F29" s="20"/>
      <c r="G29" s="20"/>
      <c r="H29" s="20"/>
      <c r="I29" s="20"/>
      <c r="J29" s="20"/>
      <c r="K29" s="20"/>
      <c r="L29" s="20"/>
      <c r="M29" s="20"/>
      <c r="N29" s="20"/>
      <c r="O29" s="52" t="str">
        <f>pivots!I18</f>
        <v>Amount rank:2</v>
      </c>
      <c r="P29" s="47"/>
      <c r="Q29" s="41" t="str">
        <v>C0001</v>
      </c>
      <c r="R29" s="42">
        <v>1655</v>
      </c>
      <c r="S29" s="42">
        <v>805</v>
      </c>
      <c r="T29" s="42">
        <v>2263</v>
      </c>
      <c r="U29" s="42">
        <v>987</v>
      </c>
      <c r="V29" s="42">
        <v>1075</v>
      </c>
      <c r="W29" s="42">
        <v>6785</v>
      </c>
      <c r="X29" s="20"/>
      <c r="Y29" s="20"/>
      <c r="Z29" s="20"/>
      <c r="AA29" s="20"/>
      <c r="AB29" s="20"/>
      <c r="AC29" s="20"/>
      <c r="AD29" s="20"/>
      <c r="AE29" s="20"/>
      <c r="AF29" s="20"/>
      <c r="AG29" s="20"/>
      <c r="AH29" s="20"/>
      <c r="AI29" s="20"/>
      <c r="AJ29" s="20"/>
      <c r="AK29" s="20"/>
      <c r="AL29" s="20"/>
      <c r="AM29" s="20"/>
      <c r="AN29" s="20"/>
      <c r="AO29" s="20"/>
      <c r="AP29" s="20"/>
      <c r="AQ29" s="20"/>
      <c r="AR29" s="20"/>
      <c r="AS29" s="20"/>
      <c r="AT29" s="20"/>
    </row>
    <row r="30" spans="1:46" x14ac:dyDescent="0.2">
      <c r="A30" s="20"/>
      <c r="B30" s="20"/>
      <c r="C30" s="20"/>
      <c r="D30" s="20"/>
      <c r="E30" s="20"/>
      <c r="F30" s="20"/>
      <c r="G30" s="20"/>
      <c r="H30" s="20"/>
      <c r="I30" s="20"/>
      <c r="J30" s="20"/>
      <c r="K30" s="20"/>
      <c r="L30" s="20"/>
      <c r="M30" s="20"/>
      <c r="N30" s="20"/>
      <c r="O30" s="20"/>
      <c r="P30" s="47"/>
      <c r="Q30" s="41" t="str">
        <v>C0005</v>
      </c>
      <c r="R30" s="42">
        <v>1104</v>
      </c>
      <c r="S30" s="42">
        <v>2280</v>
      </c>
      <c r="T30" s="42">
        <v>1445</v>
      </c>
      <c r="U30" s="42">
        <v>1722</v>
      </c>
      <c r="V30" s="42">
        <v>1196</v>
      </c>
      <c r="W30" s="42">
        <v>7747</v>
      </c>
      <c r="X30" s="20"/>
      <c r="Y30" s="20"/>
      <c r="Z30" s="20"/>
      <c r="AA30" s="20"/>
      <c r="AB30" s="20"/>
      <c r="AC30" s="20"/>
      <c r="AD30" s="20"/>
      <c r="AE30" s="20"/>
      <c r="AF30" s="20"/>
      <c r="AG30" s="20"/>
      <c r="AH30" s="20"/>
      <c r="AI30" s="20"/>
      <c r="AJ30" s="20"/>
      <c r="AK30" s="20"/>
      <c r="AL30" s="20"/>
      <c r="AM30" s="20"/>
      <c r="AN30" s="20"/>
      <c r="AO30" s="20"/>
      <c r="AP30" s="20"/>
      <c r="AQ30" s="20"/>
      <c r="AR30" s="20"/>
      <c r="AS30" s="20"/>
      <c r="AT30" s="20"/>
    </row>
    <row r="31" spans="1:46" x14ac:dyDescent="0.2">
      <c r="A31" s="20"/>
      <c r="B31" s="20"/>
      <c r="C31" s="20"/>
      <c r="D31" s="20"/>
      <c r="E31" s="20"/>
      <c r="F31" s="20"/>
      <c r="G31" s="20"/>
      <c r="H31" s="20"/>
      <c r="I31" s="20"/>
      <c r="J31" s="20"/>
      <c r="K31" s="20"/>
      <c r="L31" s="20"/>
      <c r="M31" s="20"/>
      <c r="N31" s="20"/>
      <c r="O31" s="20"/>
      <c r="P31" s="47"/>
      <c r="Q31" s="41" t="str">
        <v>C0006</v>
      </c>
      <c r="R31" s="42">
        <v>372</v>
      </c>
      <c r="S31" s="42">
        <v>1818</v>
      </c>
      <c r="T31" s="42">
        <v>1346</v>
      </c>
      <c r="U31" s="42">
        <v>1156</v>
      </c>
      <c r="V31" s="42">
        <v>1484</v>
      </c>
      <c r="W31" s="42">
        <v>6176</v>
      </c>
      <c r="X31" s="20"/>
      <c r="Y31" s="20"/>
      <c r="Z31" s="20"/>
      <c r="AA31" s="20"/>
      <c r="AB31" s="20"/>
      <c r="AC31" s="20"/>
      <c r="AD31" s="20"/>
      <c r="AE31" s="20"/>
      <c r="AF31" s="20"/>
      <c r="AG31" s="20"/>
      <c r="AH31" s="20"/>
      <c r="AI31" s="20"/>
      <c r="AJ31" s="20"/>
      <c r="AK31" s="20"/>
      <c r="AL31" s="20"/>
      <c r="AM31" s="20"/>
      <c r="AN31" s="20"/>
      <c r="AO31" s="20"/>
      <c r="AP31" s="20"/>
      <c r="AQ31" s="20"/>
      <c r="AR31" s="20"/>
      <c r="AS31" s="20"/>
      <c r="AT31" s="20"/>
    </row>
    <row r="32" spans="1:46" x14ac:dyDescent="0.2">
      <c r="A32" s="20"/>
      <c r="B32" s="20"/>
      <c r="C32" s="20"/>
      <c r="D32" s="20"/>
      <c r="E32" s="20"/>
      <c r="F32" s="20"/>
      <c r="G32" s="20"/>
      <c r="H32" s="20"/>
      <c r="I32" s="20"/>
      <c r="J32" s="20"/>
      <c r="K32" s="20"/>
      <c r="L32" s="20"/>
      <c r="M32" s="20"/>
      <c r="N32" s="20"/>
      <c r="O32" s="20"/>
      <c r="P32" s="20"/>
      <c r="Q32" s="41" t="str">
        <v>C0009</v>
      </c>
      <c r="R32" s="42">
        <v>1415</v>
      </c>
      <c r="S32" s="42">
        <v>1271</v>
      </c>
      <c r="T32" s="42">
        <v>1214</v>
      </c>
      <c r="U32" s="42">
        <v>1135</v>
      </c>
      <c r="V32" s="42">
        <v>1566</v>
      </c>
      <c r="W32" s="42">
        <v>6601</v>
      </c>
      <c r="X32" s="20"/>
      <c r="Y32" s="20"/>
      <c r="Z32" s="20"/>
      <c r="AA32" s="20"/>
      <c r="AB32" s="20"/>
      <c r="AC32" s="20"/>
      <c r="AD32" s="20"/>
      <c r="AE32" s="20"/>
      <c r="AF32" s="20"/>
      <c r="AG32" s="20"/>
      <c r="AH32" s="20"/>
      <c r="AI32" s="20"/>
      <c r="AJ32" s="20"/>
      <c r="AK32" s="20"/>
      <c r="AL32" s="20"/>
      <c r="AM32" s="20"/>
      <c r="AN32" s="20"/>
      <c r="AO32" s="20"/>
      <c r="AP32" s="20"/>
      <c r="AQ32" s="20"/>
      <c r="AR32" s="20"/>
      <c r="AS32" s="20"/>
      <c r="AT32" s="20"/>
    </row>
    <row r="33" spans="1:46" x14ac:dyDescent="0.2">
      <c r="A33" s="20"/>
      <c r="B33" s="20"/>
      <c r="C33" s="20"/>
      <c r="D33" s="20"/>
      <c r="E33" s="20"/>
      <c r="F33" s="20"/>
      <c r="G33" s="20"/>
      <c r="H33" s="20"/>
      <c r="I33" s="20"/>
      <c r="J33" s="20"/>
      <c r="K33" s="20"/>
      <c r="L33" s="20"/>
      <c r="M33" s="20"/>
      <c r="N33" s="20"/>
      <c r="O33" s="20"/>
      <c r="P33" s="20"/>
      <c r="Q33" s="41" t="str">
        <v>C0014</v>
      </c>
      <c r="R33" s="42">
        <v>1362</v>
      </c>
      <c r="S33" s="42">
        <v>1363</v>
      </c>
      <c r="T33" s="42">
        <v>1152</v>
      </c>
      <c r="U33" s="42">
        <v>777</v>
      </c>
      <c r="V33" s="42">
        <v>750</v>
      </c>
      <c r="W33" s="42">
        <v>5404</v>
      </c>
      <c r="X33" s="20"/>
      <c r="Y33" s="20"/>
      <c r="Z33" s="20"/>
      <c r="AA33" s="20"/>
      <c r="AB33" s="20"/>
      <c r="AC33" s="20"/>
      <c r="AD33" s="20"/>
      <c r="AE33" s="20"/>
      <c r="AF33" s="20"/>
      <c r="AG33" s="20"/>
      <c r="AH33" s="20"/>
      <c r="AI33" s="20"/>
      <c r="AJ33" s="20"/>
      <c r="AK33" s="20"/>
      <c r="AL33" s="20"/>
      <c r="AM33" s="20"/>
      <c r="AN33" s="20"/>
      <c r="AO33" s="20"/>
      <c r="AP33" s="20"/>
      <c r="AQ33" s="20"/>
      <c r="AR33" s="20"/>
      <c r="AS33" s="20"/>
      <c r="AT33" s="20"/>
    </row>
    <row r="34" spans="1:46"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row>
    <row r="35" spans="1:46"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row>
    <row r="36" spans="1:46"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row>
    <row r="37" spans="1:46"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row>
    <row r="38" spans="1:46"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row>
    <row r="39" spans="1:46"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row>
    <row r="40" spans="1:46"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row>
    <row r="41" spans="1:46"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row>
    <row r="42" spans="1:46"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row>
    <row r="43" spans="1:46"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row>
    <row r="44" spans="1:46"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row>
    <row r="45" spans="1:46"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row>
    <row r="46" spans="1:46"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row>
    <row r="47" spans="1:46"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row>
    <row r="48" spans="1:46"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row>
    <row r="49" spans="1:46"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row>
    <row r="50" spans="1:46"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row>
    <row r="51" spans="1:46"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row>
    <row r="52" spans="1:46"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row>
    <row r="53" spans="1:46"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row>
    <row r="54" spans="1:46"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row>
    <row r="55" spans="1:46"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row>
    <row r="56" spans="1:46"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row>
    <row r="57" spans="1:46"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row>
    <row r="58" spans="1:46"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row>
    <row r="59" spans="1:46"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row>
    <row r="60" spans="1:46"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row>
    <row r="61" spans="1:46"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row>
    <row r="62" spans="1:46"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row>
    <row r="63" spans="1:46"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row>
    <row r="64" spans="1:46"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row>
    <row r="65" spans="1:46"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row>
    <row r="66" spans="1:46"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row>
    <row r="67" spans="1:46"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row>
    <row r="68" spans="1:46"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row>
    <row r="69" spans="1:46"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row>
    <row r="70" spans="1:46"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row>
    <row r="71" spans="1:46"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row>
    <row r="72" spans="1:46"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row>
    <row r="73" spans="1:46"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row>
    <row r="74" spans="1:46"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row>
    <row r="75" spans="1:46"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row>
    <row r="76" spans="1:46"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row>
    <row r="77" spans="1:46"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row>
    <row r="78" spans="1:46"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row>
    <row r="79" spans="1:46"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row>
    <row r="80" spans="1:46"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row>
    <row r="81" spans="1:46"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row>
    <row r="82" spans="1:46"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row>
    <row r="83" spans="1:46"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row>
    <row r="84" spans="1:46"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row>
    <row r="85" spans="1:46"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row>
    <row r="86" spans="1:46"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row>
    <row r="87" spans="1:46"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row>
    <row r="88" spans="1:46"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row>
    <row r="89" spans="1:46"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row>
    <row r="90" spans="1:46"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row>
    <row r="91" spans="1:46"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row>
    <row r="92" spans="1:46"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row>
    <row r="93" spans="1:46"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row>
    <row r="94" spans="1:46"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row>
    <row r="95" spans="1:46"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row>
    <row r="96" spans="1:46"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row>
    <row r="97" spans="1:46"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row>
    <row r="98" spans="1:46"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row>
    <row r="99" spans="1:46"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row>
    <row r="100" spans="1:46"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row>
    <row r="101" spans="1:46"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row>
    <row r="102" spans="1:46"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row>
    <row r="103" spans="1:46"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row>
    <row r="104" spans="1:46"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row>
    <row r="105" spans="1:46"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row>
    <row r="106" spans="1:46"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row>
    <row r="107" spans="1:46"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row>
    <row r="108" spans="1:46"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row>
    <row r="109" spans="1:46"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row>
    <row r="110" spans="1:46"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row>
    <row r="111" spans="1:46"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row>
    <row r="112" spans="1:46"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row>
    <row r="113" spans="1:46"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row>
    <row r="114" spans="1:46"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row>
    <row r="115" spans="1:46"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row>
    <row r="116" spans="1:46"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row>
    <row r="117" spans="1:46"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row>
    <row r="118" spans="1:46"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row>
    <row r="119" spans="1:46"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row>
    <row r="120" spans="1:46"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row>
    <row r="121" spans="1:46"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row>
    <row r="122" spans="1:46"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row>
    <row r="123" spans="1:46"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row>
    <row r="124" spans="1:46"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row>
    <row r="125" spans="1:46"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row>
    <row r="126" spans="1:46"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row>
    <row r="127" spans="1:46"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row>
    <row r="128" spans="1:46"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row>
    <row r="129" spans="1:46"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row>
    <row r="130" spans="1:46"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1:46"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row r="132" spans="1:46"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row>
    <row r="133" spans="1:46"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row>
    <row r="134" spans="1:46"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row>
    <row r="135" spans="1:46"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row>
    <row r="136" spans="1:46"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row>
    <row r="137" spans="1:46"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row>
    <row r="138" spans="1:46"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row>
    <row r="139" spans="1:46"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row>
    <row r="140" spans="1:46"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row>
    <row r="141" spans="1:46"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row>
    <row r="142" spans="1:46"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row>
    <row r="143" spans="1:46"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row>
    <row r="144" spans="1:46"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row>
    <row r="145" spans="1:46"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row>
    <row r="146" spans="1:46"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row>
    <row r="147" spans="1:46"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row>
    <row r="148" spans="1:46"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row>
    <row r="149" spans="1:46"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row>
    <row r="150" spans="1:46"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row>
    <row r="151" spans="1:46"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row>
    <row r="152" spans="1:46"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row>
    <row r="153" spans="1:46"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row>
    <row r="154" spans="1:46"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row>
    <row r="155" spans="1:46"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row>
    <row r="156" spans="1:46"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row>
    <row r="157" spans="1:46"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row>
    <row r="158" spans="1:46"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row>
    <row r="159" spans="1:46"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row>
    <row r="160" spans="1:46"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row>
    <row r="161" spans="1:46"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row>
    <row r="162" spans="1:46"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row>
    <row r="163" spans="1:46"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row>
    <row r="164" spans="1:46"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row>
    <row r="165" spans="1:46"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row>
    <row r="166" spans="1:46"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row>
    <row r="167" spans="1:46"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row>
    <row r="168" spans="1:46"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row>
    <row r="169" spans="1:46"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row>
    <row r="170" spans="1:46"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row>
    <row r="171" spans="1:46"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row>
    <row r="172" spans="1:46"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row>
    <row r="173" spans="1:46"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row>
    <row r="174" spans="1:46"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row>
    <row r="175" spans="1:46"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row>
    <row r="176" spans="1:46"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row>
    <row r="177" spans="1:46"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row>
    <row r="178" spans="1:46"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row>
    <row r="179" spans="1:46"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row>
    <row r="180" spans="1:46"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row>
    <row r="181" spans="1:46"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row>
    <row r="182" spans="1:46"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row>
    <row r="183" spans="1:46"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row>
    <row r="184" spans="1:46"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row>
    <row r="185" spans="1:46"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row>
    <row r="186" spans="1:46"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row>
    <row r="187" spans="1:46"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row>
    <row r="188" spans="1:46"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row>
    <row r="189" spans="1:46"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row>
    <row r="190" spans="1:46"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row>
    <row r="191" spans="1:46"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row>
    <row r="192" spans="1:46"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row>
    <row r="193" spans="1:46"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row>
    <row r="194" spans="1:46"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row>
    <row r="195" spans="1:46"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row>
    <row r="196" spans="1:46"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row>
    <row r="197" spans="1:46"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row>
    <row r="198" spans="1:46"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row>
    <row r="199" spans="1:46"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row>
    <row r="200" spans="1:46"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row>
    <row r="201" spans="1:46"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row>
    <row r="202" spans="1:46"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row>
    <row r="203" spans="1:46"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row>
    <row r="204" spans="1:46"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row>
    <row r="205" spans="1:46"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row>
    <row r="206" spans="1:46"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row>
    <row r="207" spans="1:46"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row>
    <row r="208" spans="1:46"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row>
    <row r="209" spans="1:46"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row>
    <row r="210" spans="1:46"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row>
    <row r="211" spans="1:46"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row>
    <row r="212" spans="1:46"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row>
    <row r="213" spans="1:46"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row>
    <row r="214" spans="1:46"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row>
    <row r="215" spans="1:46"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row>
    <row r="216" spans="1:46"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row>
    <row r="217" spans="1:46"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row>
    <row r="218" spans="1:46"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row>
    <row r="219" spans="1:46"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row>
    <row r="220" spans="1:46"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row>
    <row r="221" spans="1:46"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row>
    <row r="222" spans="1:46"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row>
    <row r="223" spans="1:46"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row>
    <row r="224" spans="1:46"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row>
    <row r="225" spans="1:46"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row>
    <row r="226" spans="1:46"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row>
    <row r="227" spans="1:46"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row>
    <row r="228" spans="1:46"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row>
    <row r="229" spans="1:46"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row>
    <row r="230" spans="1:46"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row>
    <row r="231" spans="1:46"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row>
    <row r="232" spans="1:46"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row>
    <row r="233" spans="1:46"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row>
    <row r="234" spans="1:46"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row>
    <row r="235" spans="1:46"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row>
    <row r="236" spans="1:46"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row>
    <row r="237" spans="1:46"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row>
    <row r="238" spans="1:46"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row>
    <row r="239" spans="1:46"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row>
    <row r="240" spans="1:46"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row>
    <row r="241" spans="1:46"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row>
    <row r="242" spans="1:46"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row>
    <row r="243" spans="1:46"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row>
    <row r="244" spans="1:46"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row>
    <row r="245" spans="1:46"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row>
    <row r="246" spans="1:46"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row>
    <row r="247" spans="1:46"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row>
    <row r="248" spans="1:46"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row>
    <row r="249" spans="1:46"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row>
    <row r="250" spans="1:46"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row>
    <row r="251" spans="1:46"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row>
    <row r="252" spans="1:46"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row>
    <row r="253" spans="1:46"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row>
    <row r="254" spans="1:46"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row>
    <row r="255" spans="1:46"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row>
    <row r="256" spans="1:46"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row>
    <row r="257" spans="1:46"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row>
    <row r="258" spans="1:46"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row>
    <row r="259" spans="1:46"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row>
    <row r="260" spans="1:46"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row>
    <row r="261" spans="1:46"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row>
    <row r="262" spans="1:46"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row>
    <row r="263" spans="1:46"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row>
    <row r="264" spans="1:46"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row>
    <row r="265" spans="1:46"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row>
    <row r="266" spans="1:46"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row>
  </sheetData>
  <mergeCells count="1">
    <mergeCell ref="N24:P26"/>
  </mergeCells>
  <conditionalFormatting sqref="R16:V33">
    <cfRule type="dataBar" priority="2">
      <dataBar>
        <cfvo type="num" val="0"/>
        <cfvo type="formula" val="MAX($R$16:$V$33)*2"/>
        <color theme="1"/>
      </dataBar>
      <extLst>
        <ext xmlns:x14="http://schemas.microsoft.com/office/spreadsheetml/2009/9/main" uri="{B025F937-C7B1-47D3-B67F-A62EFF666E3E}">
          <x14:id>{0874E26A-B278-43C7-ABB0-4FD8AA009F20}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F724E84E-F23D-4436-A00B-DCD541DC7C95}">
            <xm:f>R$15=pivots!$A$55</xm:f>
            <x14:dxf>
              <fill>
                <patternFill>
                  <bgColor theme="8" tint="0.59996337778862885"/>
                </patternFill>
              </fill>
              <border>
                <left style="thin">
                  <color theme="1"/>
                </left>
                <right style="thin">
                  <color theme="1"/>
                </right>
                <vertical/>
                <horizontal/>
              </border>
            </x14:dxf>
          </x14:cfRule>
          <xm:sqref>R15:V33</xm:sqref>
        </x14:conditionalFormatting>
        <x14:conditionalFormatting xmlns:xm="http://schemas.microsoft.com/office/excel/2006/main">
          <x14:cfRule type="dataBar" id="{0874E26A-B278-43C7-ABB0-4FD8AA009F20}">
            <x14:dataBar minLength="0" maxLength="100" gradient="0">
              <x14:cfvo type="num">
                <xm:f>0</xm:f>
              </x14:cfvo>
              <x14:cfvo type="formula">
                <xm:f>MAX($R$16:$V$33)*2</xm:f>
              </x14:cfvo>
              <x14:negativeFillColor rgb="FFFF0000"/>
              <x14:axisColor rgb="FF000000"/>
            </x14:dataBar>
          </x14:cfRule>
          <xm:sqref>R16:V33</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C4" sqref="C4"/>
    </sheetView>
  </sheetViews>
  <sheetFormatPr baseColWidth="10" defaultColWidth="8.83203125" defaultRowHeight="15" x14ac:dyDescent="0.2"/>
  <cols>
    <col min="1" max="1" width="3.33203125" customWidth="1"/>
    <col min="2" max="2" width="14.6640625" customWidth="1"/>
    <col min="3" max="3" width="12.83203125" customWidth="1"/>
    <col min="4" max="4" width="16.6640625" customWidth="1"/>
    <col min="5" max="5" width="15" customWidth="1"/>
    <col min="6" max="6" width="16.1640625" customWidth="1"/>
    <col min="7" max="7" width="17.33203125" customWidth="1"/>
    <col min="8" max="8" width="18.33203125" customWidth="1"/>
    <col min="9" max="9" width="17.33203125" customWidth="1"/>
    <col min="10" max="12" width="15.5" customWidth="1"/>
    <col min="13" max="16" width="7.5" customWidth="1"/>
    <col min="17" max="17" width="14.6640625" customWidth="1"/>
    <col min="20" max="20" width="10.6640625" customWidth="1"/>
  </cols>
  <sheetData>
    <row r="1" spans="2:20" s="4" customFormat="1" ht="48" customHeight="1" x14ac:dyDescent="0.2">
      <c r="B1" s="5" t="s">
        <v>1003</v>
      </c>
    </row>
    <row r="2" spans="2:20" x14ac:dyDescent="0.2">
      <c r="R2" s="1"/>
    </row>
    <row r="3" spans="2:20" x14ac:dyDescent="0.2">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4.25" x14ac:dyDescent="0.4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4.25" x14ac:dyDescent="0.4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4.25" x14ac:dyDescent="0.4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4.25" x14ac:dyDescent="0.4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4.25" x14ac:dyDescent="0.4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4.25" x14ac:dyDescent="0.4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4.25" x14ac:dyDescent="0.4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4.25" x14ac:dyDescent="0.4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4.25" x14ac:dyDescent="0.4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4.25" x14ac:dyDescent="0.4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4.25" x14ac:dyDescent="0.4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4.25" x14ac:dyDescent="0.4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4.25" x14ac:dyDescent="0.4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4.25" x14ac:dyDescent="0.4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4.25" x14ac:dyDescent="0.4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4.25" x14ac:dyDescent="0.4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4.25" x14ac:dyDescent="0.4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4.25" x14ac:dyDescent="0.4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4.25" x14ac:dyDescent="0.4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4.25" x14ac:dyDescent="0.4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4.25" x14ac:dyDescent="0.4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4.25" x14ac:dyDescent="0.4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4.25" x14ac:dyDescent="0.4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4.25" x14ac:dyDescent="0.4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4.25" x14ac:dyDescent="0.4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4.25" x14ac:dyDescent="0.4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4.25" x14ac:dyDescent="0.4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4.25" x14ac:dyDescent="0.4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4.25" x14ac:dyDescent="0.4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4.25" x14ac:dyDescent="0.4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4.25" x14ac:dyDescent="0.4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4.25" x14ac:dyDescent="0.4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4.25" x14ac:dyDescent="0.4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4.25" x14ac:dyDescent="0.4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4.25" x14ac:dyDescent="0.4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4.25" x14ac:dyDescent="0.4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4.25" x14ac:dyDescent="0.4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4.25" x14ac:dyDescent="0.4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4.25" x14ac:dyDescent="0.4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4.25" x14ac:dyDescent="0.4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4.25" x14ac:dyDescent="0.4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4.25" x14ac:dyDescent="0.4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4.25" x14ac:dyDescent="0.4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4.25" x14ac:dyDescent="0.4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4.25" x14ac:dyDescent="0.4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4.25" x14ac:dyDescent="0.4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4.25" x14ac:dyDescent="0.4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4.25" x14ac:dyDescent="0.4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4.25" x14ac:dyDescent="0.4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4.25" x14ac:dyDescent="0.4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4.25" x14ac:dyDescent="0.4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4.25" x14ac:dyDescent="0.4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4.25" x14ac:dyDescent="0.4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4.25" x14ac:dyDescent="0.4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4.25" x14ac:dyDescent="0.4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4.25" x14ac:dyDescent="0.4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4.25" x14ac:dyDescent="0.4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4.25" x14ac:dyDescent="0.4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4.25" x14ac:dyDescent="0.4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4.25" x14ac:dyDescent="0.4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4.25" x14ac:dyDescent="0.4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4.25" x14ac:dyDescent="0.4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4.25" x14ac:dyDescent="0.4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4.25" x14ac:dyDescent="0.4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4.25" x14ac:dyDescent="0.4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4.25" x14ac:dyDescent="0.4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4.25" x14ac:dyDescent="0.4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4.25" x14ac:dyDescent="0.4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4.25" x14ac:dyDescent="0.4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4.25" x14ac:dyDescent="0.4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4.25" x14ac:dyDescent="0.4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4.25" x14ac:dyDescent="0.4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4.25" x14ac:dyDescent="0.4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4.25" x14ac:dyDescent="0.4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4.25" x14ac:dyDescent="0.4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4.25" x14ac:dyDescent="0.4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4.25" x14ac:dyDescent="0.4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4.25" x14ac:dyDescent="0.4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4.25" x14ac:dyDescent="0.4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4.25" x14ac:dyDescent="0.4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4.25" x14ac:dyDescent="0.4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4.25" x14ac:dyDescent="0.4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4.25" x14ac:dyDescent="0.4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4.25" x14ac:dyDescent="0.4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4.25" x14ac:dyDescent="0.4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4.25" x14ac:dyDescent="0.4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4.25" x14ac:dyDescent="0.4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4.25" x14ac:dyDescent="0.4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4.25" x14ac:dyDescent="0.4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4.25" x14ac:dyDescent="0.4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4.25" x14ac:dyDescent="0.4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4.25" x14ac:dyDescent="0.4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4.25" x14ac:dyDescent="0.4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4.25" x14ac:dyDescent="0.4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4.25" x14ac:dyDescent="0.4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4.25" x14ac:dyDescent="0.4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4.25" x14ac:dyDescent="0.4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4.25" x14ac:dyDescent="0.4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4.25" x14ac:dyDescent="0.4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4.25" x14ac:dyDescent="0.4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4.25" x14ac:dyDescent="0.4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4.25" x14ac:dyDescent="0.4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4.25" x14ac:dyDescent="0.4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4.25" x14ac:dyDescent="0.4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4.25" x14ac:dyDescent="0.4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4.25" x14ac:dyDescent="0.4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4.25" x14ac:dyDescent="0.4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4.25" x14ac:dyDescent="0.4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4.25" x14ac:dyDescent="0.4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4.25" x14ac:dyDescent="0.4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4.25" x14ac:dyDescent="0.4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4.25" x14ac:dyDescent="0.4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4.25" x14ac:dyDescent="0.4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4.25" x14ac:dyDescent="0.4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4.25" x14ac:dyDescent="0.4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4.25" x14ac:dyDescent="0.4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4.25" x14ac:dyDescent="0.4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4.25" x14ac:dyDescent="0.4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4.25" x14ac:dyDescent="0.4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4.25" x14ac:dyDescent="0.4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4.25" x14ac:dyDescent="0.4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4.25" x14ac:dyDescent="0.4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4.25" x14ac:dyDescent="0.4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4.25" x14ac:dyDescent="0.4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4.25" x14ac:dyDescent="0.4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4.25" x14ac:dyDescent="0.4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4.25" x14ac:dyDescent="0.4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4.25" x14ac:dyDescent="0.4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4.25" x14ac:dyDescent="0.4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4.25" x14ac:dyDescent="0.4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4.25" x14ac:dyDescent="0.4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4.25" x14ac:dyDescent="0.4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4.25" x14ac:dyDescent="0.4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4.25" x14ac:dyDescent="0.4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4.25" x14ac:dyDescent="0.4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4.25" x14ac:dyDescent="0.4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4.25" x14ac:dyDescent="0.4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4.25" x14ac:dyDescent="0.4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4.25" x14ac:dyDescent="0.4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4.25" x14ac:dyDescent="0.4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4.25" x14ac:dyDescent="0.4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4.25" x14ac:dyDescent="0.4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4.25" x14ac:dyDescent="0.4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4.25" x14ac:dyDescent="0.4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4.25" x14ac:dyDescent="0.4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4.25" x14ac:dyDescent="0.4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4.25" x14ac:dyDescent="0.4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4.25" x14ac:dyDescent="0.4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4.25" x14ac:dyDescent="0.4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4.25" x14ac:dyDescent="0.4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4.25" x14ac:dyDescent="0.4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4.25" x14ac:dyDescent="0.4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4.25" x14ac:dyDescent="0.4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4.25" x14ac:dyDescent="0.4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4.25" x14ac:dyDescent="0.4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4.25" x14ac:dyDescent="0.4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4.25" x14ac:dyDescent="0.4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4.25" x14ac:dyDescent="0.4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4.25" x14ac:dyDescent="0.4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4.25" x14ac:dyDescent="0.4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4.25" x14ac:dyDescent="0.4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4.25" x14ac:dyDescent="0.4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4.25" x14ac:dyDescent="0.4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4.25" x14ac:dyDescent="0.4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4.25" x14ac:dyDescent="0.4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4.25" x14ac:dyDescent="0.4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4.25" x14ac:dyDescent="0.4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4.25" x14ac:dyDescent="0.4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4.25" x14ac:dyDescent="0.4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4.25" x14ac:dyDescent="0.4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4.25" x14ac:dyDescent="0.4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4.25" x14ac:dyDescent="0.4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4.25" x14ac:dyDescent="0.4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4.25" x14ac:dyDescent="0.4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4.25" x14ac:dyDescent="0.4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4.25" x14ac:dyDescent="0.4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4.25" x14ac:dyDescent="0.4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4.25" x14ac:dyDescent="0.4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4.25" x14ac:dyDescent="0.4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4.25" x14ac:dyDescent="0.4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4.25" x14ac:dyDescent="0.4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4.25" x14ac:dyDescent="0.4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4.25" x14ac:dyDescent="0.4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4.25" x14ac:dyDescent="0.4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4.25" x14ac:dyDescent="0.4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4.25" x14ac:dyDescent="0.4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4.25" x14ac:dyDescent="0.4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4.25" x14ac:dyDescent="0.4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4.25" x14ac:dyDescent="0.4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4.25" x14ac:dyDescent="0.4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4.25" x14ac:dyDescent="0.4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4.25" x14ac:dyDescent="0.4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4.25" x14ac:dyDescent="0.4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4.25" x14ac:dyDescent="0.4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4.25" x14ac:dyDescent="0.4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4.25" x14ac:dyDescent="0.4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4.25" x14ac:dyDescent="0.4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4.25" x14ac:dyDescent="0.4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4.25" x14ac:dyDescent="0.4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4.25" x14ac:dyDescent="0.4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4.25" x14ac:dyDescent="0.4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4.25" x14ac:dyDescent="0.4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4.25" x14ac:dyDescent="0.4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4.25" x14ac:dyDescent="0.4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4.25" x14ac:dyDescent="0.4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4.25" x14ac:dyDescent="0.4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4.25" x14ac:dyDescent="0.4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4.25" x14ac:dyDescent="0.4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4.25" x14ac:dyDescent="0.4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4.25" x14ac:dyDescent="0.4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4.25" x14ac:dyDescent="0.4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4.25" x14ac:dyDescent="0.4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4.25" x14ac:dyDescent="0.4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4.25" x14ac:dyDescent="0.4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4.25" x14ac:dyDescent="0.4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4.25" x14ac:dyDescent="0.4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4.25" x14ac:dyDescent="0.4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4.25" x14ac:dyDescent="0.4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4.25" x14ac:dyDescent="0.4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4.25" x14ac:dyDescent="0.4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4.25" x14ac:dyDescent="0.4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4.25" x14ac:dyDescent="0.4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4.25" x14ac:dyDescent="0.4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4.25" x14ac:dyDescent="0.4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4.25" x14ac:dyDescent="0.4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4.25" x14ac:dyDescent="0.4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4.25" x14ac:dyDescent="0.4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4.25" x14ac:dyDescent="0.4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4.25" x14ac:dyDescent="0.4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4.25" x14ac:dyDescent="0.4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4.25" x14ac:dyDescent="0.4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4.25" x14ac:dyDescent="0.4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4.25" x14ac:dyDescent="0.4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4.25" x14ac:dyDescent="0.4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4.25" x14ac:dyDescent="0.4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4.25" x14ac:dyDescent="0.4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4.25" x14ac:dyDescent="0.4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4.25" x14ac:dyDescent="0.4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4.25" x14ac:dyDescent="0.4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4.25" x14ac:dyDescent="0.4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4.25" x14ac:dyDescent="0.4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4.25" x14ac:dyDescent="0.4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4.25" x14ac:dyDescent="0.4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4.25" x14ac:dyDescent="0.4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4.25" x14ac:dyDescent="0.4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4.25" x14ac:dyDescent="0.4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4.25" x14ac:dyDescent="0.4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4.25" x14ac:dyDescent="0.4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4.25" x14ac:dyDescent="0.4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4.25" x14ac:dyDescent="0.4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4.25" x14ac:dyDescent="0.4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4.25" x14ac:dyDescent="0.4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4.25" x14ac:dyDescent="0.4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4.25" x14ac:dyDescent="0.4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4.25" x14ac:dyDescent="0.4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4.25" x14ac:dyDescent="0.4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4.25" x14ac:dyDescent="0.4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4.25" x14ac:dyDescent="0.4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4.25" x14ac:dyDescent="0.4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4.25" x14ac:dyDescent="0.4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4.25" x14ac:dyDescent="0.4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4.25" x14ac:dyDescent="0.4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4.25" x14ac:dyDescent="0.4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4.25" x14ac:dyDescent="0.4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4.25" x14ac:dyDescent="0.4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4.25" x14ac:dyDescent="0.4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4.25" x14ac:dyDescent="0.4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4.25" x14ac:dyDescent="0.4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4.25" x14ac:dyDescent="0.4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4.25" x14ac:dyDescent="0.4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4.25" x14ac:dyDescent="0.4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4.25" x14ac:dyDescent="0.4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4.25" x14ac:dyDescent="0.4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4.25" x14ac:dyDescent="0.4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4.25" x14ac:dyDescent="0.4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4.25" x14ac:dyDescent="0.4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4.25" x14ac:dyDescent="0.4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4.25" x14ac:dyDescent="0.4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4.25" x14ac:dyDescent="0.4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4.25" x14ac:dyDescent="0.4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4.25" x14ac:dyDescent="0.4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4.25" x14ac:dyDescent="0.4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4.25" x14ac:dyDescent="0.4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4.25" x14ac:dyDescent="0.4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4.25" x14ac:dyDescent="0.4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4.25" x14ac:dyDescent="0.4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4.25" x14ac:dyDescent="0.4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4.25" x14ac:dyDescent="0.4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4.25" x14ac:dyDescent="0.4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4.25" x14ac:dyDescent="0.4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4.25" x14ac:dyDescent="0.4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4.25" x14ac:dyDescent="0.4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4.25" x14ac:dyDescent="0.4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4.25" x14ac:dyDescent="0.4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4.25" x14ac:dyDescent="0.4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4.25" x14ac:dyDescent="0.4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4.25" x14ac:dyDescent="0.4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4.25" x14ac:dyDescent="0.4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4.25" x14ac:dyDescent="0.4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4.25" x14ac:dyDescent="0.4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4.25" x14ac:dyDescent="0.4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4.25" x14ac:dyDescent="0.4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4.25" x14ac:dyDescent="0.4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4.25" x14ac:dyDescent="0.4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4.25" x14ac:dyDescent="0.4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4.25" x14ac:dyDescent="0.4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4.25" x14ac:dyDescent="0.4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4.25" x14ac:dyDescent="0.4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4.25" x14ac:dyDescent="0.4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4.25" x14ac:dyDescent="0.4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4.25" x14ac:dyDescent="0.4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4.25" x14ac:dyDescent="0.4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4.25" x14ac:dyDescent="0.4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4.25" x14ac:dyDescent="0.4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4.25" x14ac:dyDescent="0.4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4.25" x14ac:dyDescent="0.4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4.25" x14ac:dyDescent="0.4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4.25" x14ac:dyDescent="0.4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4.25" x14ac:dyDescent="0.4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4.25" x14ac:dyDescent="0.4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4.25" x14ac:dyDescent="0.4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4.25" x14ac:dyDescent="0.4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4.25" x14ac:dyDescent="0.4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4.25" x14ac:dyDescent="0.4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4.25" x14ac:dyDescent="0.4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4.25" x14ac:dyDescent="0.4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4.25" x14ac:dyDescent="0.4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4.25" x14ac:dyDescent="0.4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4.25" x14ac:dyDescent="0.4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4.25" x14ac:dyDescent="0.4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4.25" x14ac:dyDescent="0.4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4.25" x14ac:dyDescent="0.4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4.25" x14ac:dyDescent="0.4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4.25" x14ac:dyDescent="0.4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4.25" x14ac:dyDescent="0.4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4.25" x14ac:dyDescent="0.4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4.25" x14ac:dyDescent="0.4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4.25" x14ac:dyDescent="0.4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4.25" x14ac:dyDescent="0.4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4.25" x14ac:dyDescent="0.4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4.25" x14ac:dyDescent="0.4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4.25" x14ac:dyDescent="0.4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4.25" x14ac:dyDescent="0.4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4.25" x14ac:dyDescent="0.4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4.25" x14ac:dyDescent="0.4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4.25" x14ac:dyDescent="0.4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4.25" x14ac:dyDescent="0.4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4.25" x14ac:dyDescent="0.4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4.25" x14ac:dyDescent="0.4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4.25" x14ac:dyDescent="0.4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4.25" x14ac:dyDescent="0.4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4.25" x14ac:dyDescent="0.4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4.25" x14ac:dyDescent="0.4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4.25" x14ac:dyDescent="0.4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4.25" x14ac:dyDescent="0.4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4.25" x14ac:dyDescent="0.4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4.25" x14ac:dyDescent="0.4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4.25" x14ac:dyDescent="0.4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4.25" x14ac:dyDescent="0.4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4.25" x14ac:dyDescent="0.4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4.25" x14ac:dyDescent="0.4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4.25" x14ac:dyDescent="0.4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4.25" x14ac:dyDescent="0.4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4.25" x14ac:dyDescent="0.4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4.25" x14ac:dyDescent="0.4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4.25" x14ac:dyDescent="0.4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4.25" x14ac:dyDescent="0.4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4.25" x14ac:dyDescent="0.4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4.25" x14ac:dyDescent="0.4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4.25" x14ac:dyDescent="0.4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4.25" x14ac:dyDescent="0.4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4.25" x14ac:dyDescent="0.4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4.25" x14ac:dyDescent="0.4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4.25" x14ac:dyDescent="0.4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4.25" x14ac:dyDescent="0.4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4.25" x14ac:dyDescent="0.4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4.25" x14ac:dyDescent="0.4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4.25" x14ac:dyDescent="0.4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4.25" x14ac:dyDescent="0.4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4.25" x14ac:dyDescent="0.4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4.25" x14ac:dyDescent="0.4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4.25" x14ac:dyDescent="0.4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4.25" x14ac:dyDescent="0.4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4.25" x14ac:dyDescent="0.4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4.25" x14ac:dyDescent="0.4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4.25" x14ac:dyDescent="0.4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4.25" x14ac:dyDescent="0.4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4.25" x14ac:dyDescent="0.4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4.25" x14ac:dyDescent="0.4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4.25" x14ac:dyDescent="0.4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4.25" x14ac:dyDescent="0.4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4.25" x14ac:dyDescent="0.4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4.25" x14ac:dyDescent="0.4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4.25" x14ac:dyDescent="0.4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4.25" x14ac:dyDescent="0.4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4.25" x14ac:dyDescent="0.4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4.25" x14ac:dyDescent="0.4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4.25" x14ac:dyDescent="0.4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4.25" x14ac:dyDescent="0.4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4.25" x14ac:dyDescent="0.4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4.25" x14ac:dyDescent="0.4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4.25" x14ac:dyDescent="0.4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4.25" x14ac:dyDescent="0.4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4.25" x14ac:dyDescent="0.4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4.25" x14ac:dyDescent="0.4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4.25" x14ac:dyDescent="0.4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4.25" x14ac:dyDescent="0.4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4.25" x14ac:dyDescent="0.4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4.25" x14ac:dyDescent="0.4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4.25" x14ac:dyDescent="0.4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4.25" x14ac:dyDescent="0.4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4.25" x14ac:dyDescent="0.4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4.25" x14ac:dyDescent="0.4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4.25" x14ac:dyDescent="0.4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4.25" x14ac:dyDescent="0.4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4.25" x14ac:dyDescent="0.4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4.25" x14ac:dyDescent="0.4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4.25" x14ac:dyDescent="0.4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4.25" x14ac:dyDescent="0.4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4.25" x14ac:dyDescent="0.4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4.25" x14ac:dyDescent="0.4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4.25" x14ac:dyDescent="0.4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4.25" x14ac:dyDescent="0.4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4.25" x14ac:dyDescent="0.4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4.25" x14ac:dyDescent="0.4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4.25" x14ac:dyDescent="0.4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4.25" x14ac:dyDescent="0.4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4.25" x14ac:dyDescent="0.4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4.25" x14ac:dyDescent="0.4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4.25" x14ac:dyDescent="0.4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4.25" x14ac:dyDescent="0.4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4.25" x14ac:dyDescent="0.4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4.25" x14ac:dyDescent="0.4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4.25" x14ac:dyDescent="0.4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4.25" x14ac:dyDescent="0.4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4.25" x14ac:dyDescent="0.4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4.25" x14ac:dyDescent="0.4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4.25" x14ac:dyDescent="0.4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4.25" x14ac:dyDescent="0.4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4.25" x14ac:dyDescent="0.4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4.25" x14ac:dyDescent="0.4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4.25" x14ac:dyDescent="0.4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4.25" x14ac:dyDescent="0.4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4.25" x14ac:dyDescent="0.4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4.25" x14ac:dyDescent="0.4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4.25" x14ac:dyDescent="0.4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4.25" x14ac:dyDescent="0.4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4.25" x14ac:dyDescent="0.4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4.25" x14ac:dyDescent="0.4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4.25" x14ac:dyDescent="0.4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4.25" x14ac:dyDescent="0.4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4.25" x14ac:dyDescent="0.4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4.25" x14ac:dyDescent="0.4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4.25" x14ac:dyDescent="0.4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4.25" x14ac:dyDescent="0.4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4.25" x14ac:dyDescent="0.4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4.25" x14ac:dyDescent="0.4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4.25" x14ac:dyDescent="0.4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4.25" x14ac:dyDescent="0.4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4.25" x14ac:dyDescent="0.4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4.25" x14ac:dyDescent="0.4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4.25" x14ac:dyDescent="0.4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4.25" x14ac:dyDescent="0.4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4.25" x14ac:dyDescent="0.4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4.25" x14ac:dyDescent="0.4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4.25" x14ac:dyDescent="0.4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4.25" x14ac:dyDescent="0.4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4.25" x14ac:dyDescent="0.4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4.25" x14ac:dyDescent="0.4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4.25" x14ac:dyDescent="0.4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4.25" x14ac:dyDescent="0.4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4.25" x14ac:dyDescent="0.4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4.25" x14ac:dyDescent="0.4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4.25" x14ac:dyDescent="0.4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4.25" x14ac:dyDescent="0.4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4.25" x14ac:dyDescent="0.4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4.25" x14ac:dyDescent="0.4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4.25" x14ac:dyDescent="0.4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4.25" x14ac:dyDescent="0.4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4.25" x14ac:dyDescent="0.4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4.25" x14ac:dyDescent="0.4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4.25" x14ac:dyDescent="0.4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4.25" x14ac:dyDescent="0.4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4.25" x14ac:dyDescent="0.4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4.25" x14ac:dyDescent="0.4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4.25" x14ac:dyDescent="0.4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4.25" x14ac:dyDescent="0.4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4.25" x14ac:dyDescent="0.4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4.25" x14ac:dyDescent="0.4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4.25" x14ac:dyDescent="0.4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4.25" x14ac:dyDescent="0.4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4.25" x14ac:dyDescent="0.4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4.25" x14ac:dyDescent="0.4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4.25" x14ac:dyDescent="0.4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4.25" x14ac:dyDescent="0.4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4.25" x14ac:dyDescent="0.4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4.25" x14ac:dyDescent="0.4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4.25" x14ac:dyDescent="0.4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4.25" x14ac:dyDescent="0.4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4.25" x14ac:dyDescent="0.4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4.25" x14ac:dyDescent="0.4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4.25" x14ac:dyDescent="0.4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4.25" x14ac:dyDescent="0.4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4.25" x14ac:dyDescent="0.4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4.25" x14ac:dyDescent="0.4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4.25" x14ac:dyDescent="0.4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4.25" x14ac:dyDescent="0.4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4.25" x14ac:dyDescent="0.4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4.25" x14ac:dyDescent="0.4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4.25" x14ac:dyDescent="0.4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4.25" x14ac:dyDescent="0.4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4.25" x14ac:dyDescent="0.4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4.25" x14ac:dyDescent="0.4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4.25" x14ac:dyDescent="0.4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4.25" x14ac:dyDescent="0.4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4.25" x14ac:dyDescent="0.4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4.25" x14ac:dyDescent="0.4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4.25" x14ac:dyDescent="0.4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4.25" x14ac:dyDescent="0.4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4.25" x14ac:dyDescent="0.4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4.25" x14ac:dyDescent="0.4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4.25" x14ac:dyDescent="0.4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4.25" x14ac:dyDescent="0.4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4.25" x14ac:dyDescent="0.4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4.25" x14ac:dyDescent="0.4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4.25" x14ac:dyDescent="0.4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4.25" x14ac:dyDescent="0.4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4.25" x14ac:dyDescent="0.4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4.25" x14ac:dyDescent="0.4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4.25" x14ac:dyDescent="0.4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4.25" x14ac:dyDescent="0.4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4.25" x14ac:dyDescent="0.4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4.25" x14ac:dyDescent="0.4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4.25" x14ac:dyDescent="0.4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4.25" x14ac:dyDescent="0.4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4.25" x14ac:dyDescent="0.4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4.25" x14ac:dyDescent="0.4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4.25" x14ac:dyDescent="0.4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4.25" x14ac:dyDescent="0.4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4.25" x14ac:dyDescent="0.4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4.25" x14ac:dyDescent="0.4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4.25" x14ac:dyDescent="0.4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4.25" x14ac:dyDescent="0.4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4.25" x14ac:dyDescent="0.4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4.25" x14ac:dyDescent="0.4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4.25" x14ac:dyDescent="0.4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4.25" x14ac:dyDescent="0.4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4.25" x14ac:dyDescent="0.4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4.25" x14ac:dyDescent="0.4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4.25" x14ac:dyDescent="0.4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4.25" x14ac:dyDescent="0.4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4.25" x14ac:dyDescent="0.4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4.25" x14ac:dyDescent="0.4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4.25" x14ac:dyDescent="0.4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4.25" x14ac:dyDescent="0.4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4.25" x14ac:dyDescent="0.4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4.25" x14ac:dyDescent="0.4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4.25" x14ac:dyDescent="0.4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4.25" x14ac:dyDescent="0.4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4.25" x14ac:dyDescent="0.4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4.25" x14ac:dyDescent="0.4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4.25" x14ac:dyDescent="0.4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4.25" x14ac:dyDescent="0.4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4.25" x14ac:dyDescent="0.4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4.25" x14ac:dyDescent="0.4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4.25" x14ac:dyDescent="0.4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4.25" x14ac:dyDescent="0.4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4.25" x14ac:dyDescent="0.4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4.25" x14ac:dyDescent="0.4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4.25" x14ac:dyDescent="0.4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4.25" x14ac:dyDescent="0.4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4.25" x14ac:dyDescent="0.4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4.25" x14ac:dyDescent="0.4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4.25" x14ac:dyDescent="0.4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4.25" x14ac:dyDescent="0.4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4.25" x14ac:dyDescent="0.4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4.25" x14ac:dyDescent="0.4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4.25" x14ac:dyDescent="0.4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4.25" x14ac:dyDescent="0.4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4.25" x14ac:dyDescent="0.4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4.25" x14ac:dyDescent="0.4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4.25" x14ac:dyDescent="0.4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4.25" x14ac:dyDescent="0.4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4.25" x14ac:dyDescent="0.4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4.25" x14ac:dyDescent="0.4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4.25" x14ac:dyDescent="0.4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4.25" x14ac:dyDescent="0.4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4.25" x14ac:dyDescent="0.4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4.25" x14ac:dyDescent="0.4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4.25" x14ac:dyDescent="0.4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4.25" x14ac:dyDescent="0.4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4.25" x14ac:dyDescent="0.4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4.25" x14ac:dyDescent="0.4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4.25" x14ac:dyDescent="0.4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4.25" x14ac:dyDescent="0.4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4.25" x14ac:dyDescent="0.4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4.25" x14ac:dyDescent="0.4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4.25" x14ac:dyDescent="0.4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4.25" x14ac:dyDescent="0.4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4.25" x14ac:dyDescent="0.4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4.25" x14ac:dyDescent="0.4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4.25" x14ac:dyDescent="0.4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4.25" x14ac:dyDescent="0.4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4.25" x14ac:dyDescent="0.4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4.25" x14ac:dyDescent="0.4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4.25" x14ac:dyDescent="0.4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4.25" x14ac:dyDescent="0.4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4.25" x14ac:dyDescent="0.4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4.25" x14ac:dyDescent="0.4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4.25" x14ac:dyDescent="0.4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4.25" x14ac:dyDescent="0.4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4.25" x14ac:dyDescent="0.4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4.25" x14ac:dyDescent="0.4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4.25" x14ac:dyDescent="0.4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4.25" x14ac:dyDescent="0.4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4.25" x14ac:dyDescent="0.4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4.25" x14ac:dyDescent="0.4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4.25" x14ac:dyDescent="0.4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4.25" x14ac:dyDescent="0.4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4.25" x14ac:dyDescent="0.4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4.25" x14ac:dyDescent="0.4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4.25" x14ac:dyDescent="0.4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4.25" x14ac:dyDescent="0.4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4.25" x14ac:dyDescent="0.4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4.25" x14ac:dyDescent="0.4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4.25" x14ac:dyDescent="0.4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4.25" x14ac:dyDescent="0.4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4.25" x14ac:dyDescent="0.4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4.25" x14ac:dyDescent="0.4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4.25" x14ac:dyDescent="0.4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4.25" x14ac:dyDescent="0.4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4.25" x14ac:dyDescent="0.4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4.25" x14ac:dyDescent="0.4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4.25" x14ac:dyDescent="0.4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4.25" x14ac:dyDescent="0.4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4.25" x14ac:dyDescent="0.4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4.25" x14ac:dyDescent="0.4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4.25" x14ac:dyDescent="0.4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4.25" x14ac:dyDescent="0.4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4.25" x14ac:dyDescent="0.4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4.25" x14ac:dyDescent="0.4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4.25" x14ac:dyDescent="0.4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4.25" x14ac:dyDescent="0.4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4.25" x14ac:dyDescent="0.4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4.25" x14ac:dyDescent="0.4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4.25" x14ac:dyDescent="0.4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4.25" x14ac:dyDescent="0.4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4.25" x14ac:dyDescent="0.4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4.25" x14ac:dyDescent="0.4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4.25" x14ac:dyDescent="0.4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4.25" x14ac:dyDescent="0.4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4.25" x14ac:dyDescent="0.4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4.25" x14ac:dyDescent="0.4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4.25" x14ac:dyDescent="0.4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4.25" x14ac:dyDescent="0.4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4.25" x14ac:dyDescent="0.4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4.25" x14ac:dyDescent="0.4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4.25" x14ac:dyDescent="0.4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4.25" x14ac:dyDescent="0.4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4.25" x14ac:dyDescent="0.4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4.25" x14ac:dyDescent="0.4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4.25" x14ac:dyDescent="0.4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4.25" x14ac:dyDescent="0.4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4.25" x14ac:dyDescent="0.4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4.25" x14ac:dyDescent="0.4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4.25" x14ac:dyDescent="0.4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4.25" x14ac:dyDescent="0.4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4.25" x14ac:dyDescent="0.4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4.25" x14ac:dyDescent="0.4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4.25" x14ac:dyDescent="0.4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4.25" x14ac:dyDescent="0.4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4.25" x14ac:dyDescent="0.4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4.25" x14ac:dyDescent="0.4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4.25" x14ac:dyDescent="0.4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4.25" x14ac:dyDescent="0.4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4.25" x14ac:dyDescent="0.4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4.25" x14ac:dyDescent="0.4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4.25" x14ac:dyDescent="0.4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4.25" x14ac:dyDescent="0.4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4.25" x14ac:dyDescent="0.4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4.25" x14ac:dyDescent="0.4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4.25" x14ac:dyDescent="0.4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4.25" x14ac:dyDescent="0.4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4.25" x14ac:dyDescent="0.4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4.25" x14ac:dyDescent="0.4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4.25" x14ac:dyDescent="0.4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4.25" x14ac:dyDescent="0.4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4.25" x14ac:dyDescent="0.4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4.25" x14ac:dyDescent="0.4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4.25" x14ac:dyDescent="0.4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4.25" x14ac:dyDescent="0.4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4.25" x14ac:dyDescent="0.4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4.25" x14ac:dyDescent="0.4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4.25" x14ac:dyDescent="0.4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4.25" x14ac:dyDescent="0.4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4.25" x14ac:dyDescent="0.4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4.25" x14ac:dyDescent="0.4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4.25" x14ac:dyDescent="0.4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4.25" x14ac:dyDescent="0.4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4.25" x14ac:dyDescent="0.4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4.25" x14ac:dyDescent="0.4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4.25" x14ac:dyDescent="0.4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4.25" x14ac:dyDescent="0.4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4.25" x14ac:dyDescent="0.4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4.25" x14ac:dyDescent="0.4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4.25" x14ac:dyDescent="0.4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4.25" x14ac:dyDescent="0.4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4.25" x14ac:dyDescent="0.4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4.25" x14ac:dyDescent="0.4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4.25" x14ac:dyDescent="0.4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4.25" x14ac:dyDescent="0.4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4.25" x14ac:dyDescent="0.4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4.25" x14ac:dyDescent="0.4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4.25" x14ac:dyDescent="0.4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4.25" x14ac:dyDescent="0.4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4.25" x14ac:dyDescent="0.4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4.25" x14ac:dyDescent="0.4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4.25" x14ac:dyDescent="0.4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4.25" x14ac:dyDescent="0.4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4.25" x14ac:dyDescent="0.4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4.25" x14ac:dyDescent="0.4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4.25" x14ac:dyDescent="0.4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4.25" x14ac:dyDescent="0.4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4.25" x14ac:dyDescent="0.4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4.25" x14ac:dyDescent="0.4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4.25" x14ac:dyDescent="0.4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4.25" x14ac:dyDescent="0.4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4.25" x14ac:dyDescent="0.4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4.25" x14ac:dyDescent="0.4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4.25" x14ac:dyDescent="0.4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4.25" x14ac:dyDescent="0.4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4.25" x14ac:dyDescent="0.4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4.25" x14ac:dyDescent="0.4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4.25" x14ac:dyDescent="0.4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4.25" x14ac:dyDescent="0.4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4.25" x14ac:dyDescent="0.4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4.25" x14ac:dyDescent="0.4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4.25" x14ac:dyDescent="0.4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4.25" x14ac:dyDescent="0.4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4.25" x14ac:dyDescent="0.4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4.25" x14ac:dyDescent="0.4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4.25" x14ac:dyDescent="0.4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4.25" x14ac:dyDescent="0.4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4.25" x14ac:dyDescent="0.4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4.25" x14ac:dyDescent="0.4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4.25" x14ac:dyDescent="0.4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4.25" x14ac:dyDescent="0.4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4.25" x14ac:dyDescent="0.4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4.25" x14ac:dyDescent="0.4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4.25" x14ac:dyDescent="0.4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4.25" x14ac:dyDescent="0.4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4.25" x14ac:dyDescent="0.4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4.25" x14ac:dyDescent="0.4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4.25" x14ac:dyDescent="0.4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4.25" x14ac:dyDescent="0.4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4.25" x14ac:dyDescent="0.4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4.25" x14ac:dyDescent="0.4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4.25" x14ac:dyDescent="0.4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4.25" x14ac:dyDescent="0.4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4.25" x14ac:dyDescent="0.4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4.25" x14ac:dyDescent="0.4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4.25" x14ac:dyDescent="0.4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4.25" x14ac:dyDescent="0.4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4.25" x14ac:dyDescent="0.4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4.25" x14ac:dyDescent="0.4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4.25" x14ac:dyDescent="0.4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4.25" x14ac:dyDescent="0.4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4.25" x14ac:dyDescent="0.4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4.25" x14ac:dyDescent="0.4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4.25" x14ac:dyDescent="0.4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4.25" x14ac:dyDescent="0.4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4.25" x14ac:dyDescent="0.4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4.25" x14ac:dyDescent="0.4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4.25" x14ac:dyDescent="0.4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4.25" x14ac:dyDescent="0.4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4.25" x14ac:dyDescent="0.4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4.25" x14ac:dyDescent="0.4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4.25" x14ac:dyDescent="0.4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4.25" x14ac:dyDescent="0.4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4.25" x14ac:dyDescent="0.4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4.25" x14ac:dyDescent="0.4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4.25" x14ac:dyDescent="0.4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4.25" x14ac:dyDescent="0.4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4.25" x14ac:dyDescent="0.4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4.25" x14ac:dyDescent="0.4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4.25" x14ac:dyDescent="0.4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4.25" x14ac:dyDescent="0.4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4.25" x14ac:dyDescent="0.4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4.25" x14ac:dyDescent="0.4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4.25" x14ac:dyDescent="0.4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4.25" x14ac:dyDescent="0.4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4.25" x14ac:dyDescent="0.4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4.25" x14ac:dyDescent="0.4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4.25" x14ac:dyDescent="0.4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4.25" x14ac:dyDescent="0.4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4.25" x14ac:dyDescent="0.4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4.25" x14ac:dyDescent="0.4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4.25" x14ac:dyDescent="0.4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4.25" x14ac:dyDescent="0.4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4.25" x14ac:dyDescent="0.4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4.25" x14ac:dyDescent="0.4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4.25" x14ac:dyDescent="0.4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4.25" x14ac:dyDescent="0.4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4.25" x14ac:dyDescent="0.4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4.25" x14ac:dyDescent="0.4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4.25" x14ac:dyDescent="0.4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4.25" x14ac:dyDescent="0.4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4.25" x14ac:dyDescent="0.4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4.25" x14ac:dyDescent="0.4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4.25" x14ac:dyDescent="0.4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4.25" x14ac:dyDescent="0.4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4.25" x14ac:dyDescent="0.4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4.25" x14ac:dyDescent="0.4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4.25" x14ac:dyDescent="0.4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4.25" x14ac:dyDescent="0.4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4.25" x14ac:dyDescent="0.4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4.25" x14ac:dyDescent="0.4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4.25" x14ac:dyDescent="0.4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4.25" x14ac:dyDescent="0.4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4.25" x14ac:dyDescent="0.4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4.25" x14ac:dyDescent="0.4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4.25" x14ac:dyDescent="0.4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4.25" x14ac:dyDescent="0.4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4.25" x14ac:dyDescent="0.4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4.25" x14ac:dyDescent="0.4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4.25" x14ac:dyDescent="0.4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4.25" x14ac:dyDescent="0.4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4.25" x14ac:dyDescent="0.4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4.25" x14ac:dyDescent="0.4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4.25" x14ac:dyDescent="0.4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4.25" x14ac:dyDescent="0.4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4.25" x14ac:dyDescent="0.4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4.25" x14ac:dyDescent="0.4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4.25" x14ac:dyDescent="0.4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4.25" x14ac:dyDescent="0.4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4.25" x14ac:dyDescent="0.4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4.25" x14ac:dyDescent="0.4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4.25" x14ac:dyDescent="0.4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4.25" x14ac:dyDescent="0.4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4.25" x14ac:dyDescent="0.4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4.25" x14ac:dyDescent="0.4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4.25" x14ac:dyDescent="0.4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4.25" x14ac:dyDescent="0.4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4.25" x14ac:dyDescent="0.4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4.25" x14ac:dyDescent="0.4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4.25" x14ac:dyDescent="0.4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4.25" x14ac:dyDescent="0.4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4.25" x14ac:dyDescent="0.4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4.25" x14ac:dyDescent="0.4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4.25" x14ac:dyDescent="0.4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4.25" x14ac:dyDescent="0.4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4.25" x14ac:dyDescent="0.4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4.25" x14ac:dyDescent="0.4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4.25" x14ac:dyDescent="0.4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4.25" x14ac:dyDescent="0.4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4.25" x14ac:dyDescent="0.4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4.25" x14ac:dyDescent="0.4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4.25" x14ac:dyDescent="0.4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4.25" x14ac:dyDescent="0.4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4.25" x14ac:dyDescent="0.4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4.25" x14ac:dyDescent="0.4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4.25" x14ac:dyDescent="0.4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4.25" x14ac:dyDescent="0.4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4.25" x14ac:dyDescent="0.4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4.25" x14ac:dyDescent="0.4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4.25" x14ac:dyDescent="0.4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4.25" x14ac:dyDescent="0.4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4.25" x14ac:dyDescent="0.4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4.25" x14ac:dyDescent="0.4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4.25" x14ac:dyDescent="0.4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4.25" x14ac:dyDescent="0.4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4.25" x14ac:dyDescent="0.4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4.25" x14ac:dyDescent="0.4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4.25" x14ac:dyDescent="0.4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4.25" x14ac:dyDescent="0.4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4.25" x14ac:dyDescent="0.4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4.25" x14ac:dyDescent="0.4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4.25" x14ac:dyDescent="0.4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4.25" x14ac:dyDescent="0.4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4.25" x14ac:dyDescent="0.4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4.25" x14ac:dyDescent="0.4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4.25" x14ac:dyDescent="0.4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4.25" x14ac:dyDescent="0.4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4.25" x14ac:dyDescent="0.4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4.25" x14ac:dyDescent="0.4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4.25" x14ac:dyDescent="0.4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4.25" x14ac:dyDescent="0.4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4.25" x14ac:dyDescent="0.4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4.25" x14ac:dyDescent="0.4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4.25" x14ac:dyDescent="0.4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4.25" x14ac:dyDescent="0.4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4.25" x14ac:dyDescent="0.4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4.25" x14ac:dyDescent="0.4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4.25" x14ac:dyDescent="0.4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4.25" x14ac:dyDescent="0.4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4.25" x14ac:dyDescent="0.4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4.25" x14ac:dyDescent="0.4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4.25" x14ac:dyDescent="0.4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4.25" x14ac:dyDescent="0.4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4.25" x14ac:dyDescent="0.4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4.25" x14ac:dyDescent="0.4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4.25" x14ac:dyDescent="0.4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4.25" x14ac:dyDescent="0.4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4.25" x14ac:dyDescent="0.4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4.25" x14ac:dyDescent="0.4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4.25" x14ac:dyDescent="0.4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4.25" x14ac:dyDescent="0.4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4.25" x14ac:dyDescent="0.4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4.25" x14ac:dyDescent="0.4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4.25" x14ac:dyDescent="0.4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4.25" x14ac:dyDescent="0.4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4.25" x14ac:dyDescent="0.4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4.25" x14ac:dyDescent="0.4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4.25" x14ac:dyDescent="0.4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4.25" x14ac:dyDescent="0.4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4.25" x14ac:dyDescent="0.4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4.25" x14ac:dyDescent="0.4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4.25" x14ac:dyDescent="0.4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4.25" x14ac:dyDescent="0.4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4.25" x14ac:dyDescent="0.4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4.25" x14ac:dyDescent="0.4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4.25" x14ac:dyDescent="0.4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4.25" x14ac:dyDescent="0.4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4.25" x14ac:dyDescent="0.4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4.25" x14ac:dyDescent="0.4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4.25" x14ac:dyDescent="0.4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4.25" x14ac:dyDescent="0.4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4.25" x14ac:dyDescent="0.4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4.25" x14ac:dyDescent="0.4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4.25" x14ac:dyDescent="0.4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4.25" x14ac:dyDescent="0.4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4.25" x14ac:dyDescent="0.4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4.25" x14ac:dyDescent="0.4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4.25" x14ac:dyDescent="0.4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4.25" x14ac:dyDescent="0.4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4.25" x14ac:dyDescent="0.4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4.25" x14ac:dyDescent="0.4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4.25" x14ac:dyDescent="0.4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4.25" x14ac:dyDescent="0.4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4.25" x14ac:dyDescent="0.4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4.25" x14ac:dyDescent="0.4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4.25" x14ac:dyDescent="0.4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4.25" x14ac:dyDescent="0.4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4.25" x14ac:dyDescent="0.4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4.25" x14ac:dyDescent="0.4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4.25" x14ac:dyDescent="0.4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4.25" x14ac:dyDescent="0.4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4.25" x14ac:dyDescent="0.4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4.25" x14ac:dyDescent="0.4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4.25" x14ac:dyDescent="0.4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4.25" x14ac:dyDescent="0.4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4.25" x14ac:dyDescent="0.4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4.25" x14ac:dyDescent="0.4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4.25" x14ac:dyDescent="0.4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4.25" x14ac:dyDescent="0.4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4.25" x14ac:dyDescent="0.4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4.25" x14ac:dyDescent="0.4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4.25" x14ac:dyDescent="0.4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4.25" x14ac:dyDescent="0.4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4.25" x14ac:dyDescent="0.4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4.25" x14ac:dyDescent="0.4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4.25" x14ac:dyDescent="0.4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4.25" x14ac:dyDescent="0.4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4.25" x14ac:dyDescent="0.4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4.25" x14ac:dyDescent="0.4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4.25" x14ac:dyDescent="0.4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4.25" x14ac:dyDescent="0.4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4.25" x14ac:dyDescent="0.4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4.25" x14ac:dyDescent="0.4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4.25" x14ac:dyDescent="0.4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4.25" x14ac:dyDescent="0.4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4.25" x14ac:dyDescent="0.4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4.25" x14ac:dyDescent="0.4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4.25" x14ac:dyDescent="0.4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4.25" x14ac:dyDescent="0.4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17E8-1D1C-4CE0-ABD3-97413F5C1686}">
  <dimension ref="A3:Q77"/>
  <sheetViews>
    <sheetView workbookViewId="0">
      <selection activeCell="G34" sqref="G34"/>
    </sheetView>
  </sheetViews>
  <sheetFormatPr baseColWidth="10" defaultColWidth="8.83203125" defaultRowHeight="15" x14ac:dyDescent="0.2"/>
  <cols>
    <col min="1" max="1" width="12" bestFit="1" customWidth="1"/>
    <col min="2" max="2" width="9" bestFit="1" customWidth="1"/>
    <col min="3" max="3" width="10" bestFit="1" customWidth="1"/>
    <col min="4" max="4" width="12.5" bestFit="1" customWidth="1"/>
    <col min="5" max="5" width="12" bestFit="1" customWidth="1"/>
    <col min="6" max="7" width="9" bestFit="1" customWidth="1"/>
    <col min="8" max="8" width="11.5" customWidth="1"/>
    <col min="9" max="9" width="10.5" customWidth="1"/>
    <col min="10" max="10" width="10.33203125" customWidth="1"/>
    <col min="11" max="11" width="12" bestFit="1" customWidth="1"/>
    <col min="12" max="12" width="14.6640625" bestFit="1" customWidth="1"/>
    <col min="13" max="16" width="6.33203125" bestFit="1" customWidth="1"/>
    <col min="17" max="17" width="9.83203125" bestFit="1" customWidth="1"/>
  </cols>
  <sheetData>
    <row r="3" spans="1:9" x14ac:dyDescent="0.2">
      <c r="A3" t="s">
        <v>1042</v>
      </c>
      <c r="B3" t="s">
        <v>1043</v>
      </c>
      <c r="C3" t="s">
        <v>1044</v>
      </c>
      <c r="D3" t="s">
        <v>1045</v>
      </c>
      <c r="E3" t="s">
        <v>1046</v>
      </c>
      <c r="H3" s="14" t="s">
        <v>1078</v>
      </c>
    </row>
    <row r="4" spans="1:9" x14ac:dyDescent="0.2">
      <c r="A4" s="30">
        <v>1000</v>
      </c>
      <c r="B4" s="31">
        <v>96623</v>
      </c>
      <c r="C4" s="30">
        <v>89850</v>
      </c>
      <c r="D4" s="32">
        <v>3.8854000000000033</v>
      </c>
      <c r="E4" s="30">
        <v>307</v>
      </c>
    </row>
    <row r="7" spans="1:9" x14ac:dyDescent="0.2">
      <c r="H7" t="s">
        <v>1079</v>
      </c>
      <c r="I7" s="45">
        <f>A9/A4</f>
        <v>0.218</v>
      </c>
    </row>
    <row r="8" spans="1:9" x14ac:dyDescent="0.2">
      <c r="A8" t="s">
        <v>1042</v>
      </c>
      <c r="B8" t="s">
        <v>1043</v>
      </c>
      <c r="C8" t="s">
        <v>1044</v>
      </c>
      <c r="D8" t="s">
        <v>1045</v>
      </c>
      <c r="E8" t="s">
        <v>1046</v>
      </c>
      <c r="H8" t="s">
        <v>1071</v>
      </c>
      <c r="I8" s="46">
        <f>_xlfn.XLOOKUP(A55,F45:F49,G45:G49)</f>
        <v>218</v>
      </c>
    </row>
    <row r="9" spans="1:9" x14ac:dyDescent="0.2">
      <c r="A9" s="30">
        <v>218</v>
      </c>
      <c r="B9" s="31">
        <v>20581</v>
      </c>
      <c r="C9" s="30">
        <v>19300</v>
      </c>
      <c r="D9" s="32">
        <v>3.8706422018348627</v>
      </c>
      <c r="E9" s="30">
        <v>74</v>
      </c>
      <c r="H9" t="s">
        <v>1072</v>
      </c>
      <c r="I9">
        <f>_xlfn.XLOOKUP(A55,F45:F49,H45:H49)</f>
        <v>20581</v>
      </c>
    </row>
    <row r="12" spans="1:9" x14ac:dyDescent="0.2">
      <c r="H12" t="s">
        <v>1080</v>
      </c>
      <c r="I12">
        <f>_xlfn.RANK.AVG(I8,G45:G49)</f>
        <v>1</v>
      </c>
    </row>
    <row r="13" spans="1:9" x14ac:dyDescent="0.2">
      <c r="H13" t="s">
        <v>1081</v>
      </c>
      <c r="I13">
        <f>_xlfn.RANK.AVG(I9,H45:H49)</f>
        <v>2</v>
      </c>
    </row>
    <row r="15" spans="1:9" x14ac:dyDescent="0.2">
      <c r="H15" t="s">
        <v>1082</v>
      </c>
    </row>
    <row r="16" spans="1:9" x14ac:dyDescent="0.2">
      <c r="I16" t="str">
        <f>"% of calls:"&amp;TEXT(I7,"0%")</f>
        <v>% of calls:22%</v>
      </c>
    </row>
    <row r="17" spans="1:9" x14ac:dyDescent="0.2">
      <c r="A17" s="33" t="s">
        <v>1047</v>
      </c>
      <c r="B17" t="s">
        <v>1042</v>
      </c>
      <c r="C17" t="s">
        <v>1061</v>
      </c>
      <c r="F17" s="33" t="s">
        <v>1047</v>
      </c>
      <c r="G17" t="s">
        <v>1042</v>
      </c>
      <c r="I17" t="str">
        <f>IF(COUNTA(A55)&gt;1,"","Call Rank:"&amp;I12)</f>
        <v>Call Rank:1</v>
      </c>
    </row>
    <row r="18" spans="1:9" x14ac:dyDescent="0.2">
      <c r="A18" s="34" t="s">
        <v>1049</v>
      </c>
      <c r="B18" s="30">
        <v>19</v>
      </c>
      <c r="C18" s="30">
        <v>19</v>
      </c>
      <c r="F18" s="34" t="s">
        <v>1065</v>
      </c>
      <c r="G18" s="30">
        <v>28</v>
      </c>
      <c r="I18" t="str">
        <f>IF(COUNTA(A55)&gt;1,"","Amount rank:"&amp;I13)</f>
        <v>Amount rank:2</v>
      </c>
    </row>
    <row r="19" spans="1:9" x14ac:dyDescent="0.2">
      <c r="A19" s="34" t="s">
        <v>1050</v>
      </c>
      <c r="B19" s="30">
        <v>10</v>
      </c>
      <c r="C19" s="30">
        <v>10</v>
      </c>
      <c r="F19" s="34" t="s">
        <v>1063</v>
      </c>
      <c r="G19" s="30">
        <v>24</v>
      </c>
      <c r="H19" t="s">
        <v>1083</v>
      </c>
      <c r="I19" t="e" vm="1">
        <f>IF(COUNTA(A55)&gt;1,"",_xlfn.XLOOKUP(A55,Images!$E$3:$E$7,Images!$F$3:$F$7))</f>
        <v>#VALUE!</v>
      </c>
    </row>
    <row r="20" spans="1:9" x14ac:dyDescent="0.2">
      <c r="A20" s="34" t="s">
        <v>1051</v>
      </c>
      <c r="B20" s="30">
        <v>40</v>
      </c>
      <c r="C20" s="30">
        <v>40</v>
      </c>
      <c r="F20" s="34" t="s">
        <v>1067</v>
      </c>
      <c r="G20" s="30">
        <v>44</v>
      </c>
    </row>
    <row r="21" spans="1:9" x14ac:dyDescent="0.2">
      <c r="A21" s="34" t="s">
        <v>1052</v>
      </c>
      <c r="B21" s="30">
        <v>40</v>
      </c>
      <c r="C21" s="30">
        <v>40</v>
      </c>
      <c r="F21" s="34" t="s">
        <v>1068</v>
      </c>
      <c r="G21" s="30">
        <v>36</v>
      </c>
    </row>
    <row r="22" spans="1:9" x14ac:dyDescent="0.2">
      <c r="A22" s="34" t="s">
        <v>1053</v>
      </c>
      <c r="B22" s="30">
        <v>13</v>
      </c>
      <c r="C22" s="30">
        <v>13</v>
      </c>
      <c r="F22" s="34" t="s">
        <v>1066</v>
      </c>
      <c r="G22" s="30">
        <v>33</v>
      </c>
    </row>
    <row r="23" spans="1:9" x14ac:dyDescent="0.2">
      <c r="A23" s="34" t="s">
        <v>1054</v>
      </c>
      <c r="B23" s="30">
        <v>12</v>
      </c>
      <c r="C23" s="30">
        <v>12</v>
      </c>
      <c r="F23" s="34" t="s">
        <v>1062</v>
      </c>
      <c r="G23" s="30">
        <v>29</v>
      </c>
    </row>
    <row r="24" spans="1:9" x14ac:dyDescent="0.2">
      <c r="A24" s="34" t="s">
        <v>1055</v>
      </c>
      <c r="B24" s="30">
        <v>9</v>
      </c>
      <c r="C24" s="30">
        <v>9</v>
      </c>
      <c r="F24" s="34" t="s">
        <v>1064</v>
      </c>
      <c r="G24" s="30">
        <v>24</v>
      </c>
    </row>
    <row r="25" spans="1:9" x14ac:dyDescent="0.2">
      <c r="A25" s="34" t="s">
        <v>1056</v>
      </c>
      <c r="B25" s="30">
        <v>13</v>
      </c>
      <c r="C25" s="30">
        <v>13</v>
      </c>
      <c r="F25" s="34" t="s">
        <v>1048</v>
      </c>
      <c r="G25" s="30">
        <v>218</v>
      </c>
    </row>
    <row r="26" spans="1:9" x14ac:dyDescent="0.2">
      <c r="A26" s="34" t="s">
        <v>1057</v>
      </c>
      <c r="B26" s="30">
        <v>18</v>
      </c>
      <c r="C26" s="30">
        <v>18</v>
      </c>
    </row>
    <row r="27" spans="1:9" x14ac:dyDescent="0.2">
      <c r="A27" s="34" t="s">
        <v>1058</v>
      </c>
      <c r="B27" s="30">
        <v>21</v>
      </c>
      <c r="C27" s="30">
        <v>21</v>
      </c>
    </row>
    <row r="28" spans="1:9" x14ac:dyDescent="0.2">
      <c r="A28" s="34" t="s">
        <v>1059</v>
      </c>
      <c r="B28" s="30">
        <v>14</v>
      </c>
      <c r="C28" s="30">
        <v>14</v>
      </c>
    </row>
    <row r="29" spans="1:9" x14ac:dyDescent="0.2">
      <c r="A29" s="34" t="s">
        <v>1060</v>
      </c>
      <c r="B29" s="30">
        <v>9</v>
      </c>
      <c r="C29" s="30">
        <v>9</v>
      </c>
    </row>
    <row r="30" spans="1:9" x14ac:dyDescent="0.2">
      <c r="A30" s="34" t="s">
        <v>1048</v>
      </c>
      <c r="B30" s="30">
        <v>218</v>
      </c>
      <c r="C30" s="30">
        <v>218</v>
      </c>
    </row>
    <row r="42" spans="1:10" ht="14.25" x14ac:dyDescent="0.45">
      <c r="F42" t="s">
        <v>1069</v>
      </c>
      <c r="I42" t="s">
        <v>1075</v>
      </c>
      <c r="J42" t="str">
        <f>A55</f>
        <v>R02</v>
      </c>
    </row>
    <row r="44" spans="1:10" ht="14.25" x14ac:dyDescent="0.45">
      <c r="A44" s="33" t="s">
        <v>1047</v>
      </c>
      <c r="B44" t="s">
        <v>1042</v>
      </c>
      <c r="C44" t="s">
        <v>1043</v>
      </c>
      <c r="F44" t="s">
        <v>1070</v>
      </c>
      <c r="G44" t="s">
        <v>1071</v>
      </c>
      <c r="H44" t="s">
        <v>1072</v>
      </c>
      <c r="I44" t="s">
        <v>1073</v>
      </c>
      <c r="J44" t="s">
        <v>1074</v>
      </c>
    </row>
    <row r="45" spans="1:10" ht="14.25" x14ac:dyDescent="0.45">
      <c r="A45" s="34" t="s">
        <v>11</v>
      </c>
      <c r="B45" s="30">
        <v>189</v>
      </c>
      <c r="C45" s="31">
        <v>18415</v>
      </c>
      <c r="F45" t="str" cm="1">
        <f t="array" ref="F45:H49">A45:C49</f>
        <v>R01</v>
      </c>
      <c r="G45">
        <v>189</v>
      </c>
      <c r="H45" s="35">
        <v>18415</v>
      </c>
      <c r="I45" s="35" t="e">
        <f>IF(F45=$J$42,G45,NA())</f>
        <v>#N/A</v>
      </c>
      <c r="J45" s="35" t="e">
        <f>IF(F45=$J$42,H45,NA())</f>
        <v>#N/A</v>
      </c>
    </row>
    <row r="46" spans="1:10" ht="14.25" x14ac:dyDescent="0.45">
      <c r="A46" s="34" t="s">
        <v>9</v>
      </c>
      <c r="B46" s="30">
        <v>218</v>
      </c>
      <c r="C46" s="31">
        <v>20581</v>
      </c>
      <c r="F46" t="str">
        <v>R02</v>
      </c>
      <c r="G46">
        <v>218</v>
      </c>
      <c r="H46" s="35">
        <v>20581</v>
      </c>
      <c r="I46" s="37">
        <f t="shared" ref="I46:I49" si="0">IF(F46=$J$42,G46,NA())</f>
        <v>218</v>
      </c>
      <c r="J46" s="35">
        <f t="shared" ref="J46:J49" si="1">IF(F46=$J$42,H46,NA())</f>
        <v>20581</v>
      </c>
    </row>
    <row r="47" spans="1:10" ht="14.25" x14ac:dyDescent="0.45">
      <c r="A47" s="34" t="s">
        <v>6</v>
      </c>
      <c r="B47" s="30">
        <v>207</v>
      </c>
      <c r="C47" s="31">
        <v>20872</v>
      </c>
      <c r="F47" t="str">
        <v>R03</v>
      </c>
      <c r="G47">
        <v>207</v>
      </c>
      <c r="H47" s="35">
        <v>20872</v>
      </c>
      <c r="I47" s="35" t="e">
        <f t="shared" si="0"/>
        <v>#N/A</v>
      </c>
      <c r="J47" s="35" t="e">
        <f t="shared" si="1"/>
        <v>#N/A</v>
      </c>
    </row>
    <row r="48" spans="1:10" ht="14.25" x14ac:dyDescent="0.45">
      <c r="A48" s="34" t="s">
        <v>13</v>
      </c>
      <c r="B48" s="30">
        <v>186</v>
      </c>
      <c r="C48" s="31">
        <v>16651</v>
      </c>
      <c r="F48" t="str">
        <v>R04</v>
      </c>
      <c r="G48">
        <v>186</v>
      </c>
      <c r="H48" s="35">
        <v>16651</v>
      </c>
      <c r="I48" s="35" t="e">
        <f t="shared" si="0"/>
        <v>#N/A</v>
      </c>
      <c r="J48" s="35" t="e">
        <f t="shared" si="1"/>
        <v>#N/A</v>
      </c>
    </row>
    <row r="49" spans="1:17" ht="14.25" x14ac:dyDescent="0.45">
      <c r="A49" s="34" t="s">
        <v>10</v>
      </c>
      <c r="B49" s="30">
        <v>200</v>
      </c>
      <c r="C49" s="31">
        <v>20104</v>
      </c>
      <c r="F49" t="str">
        <v>R05</v>
      </c>
      <c r="G49">
        <v>200</v>
      </c>
      <c r="H49" s="35">
        <v>20104</v>
      </c>
      <c r="I49" s="35" t="e">
        <f t="shared" si="0"/>
        <v>#N/A</v>
      </c>
      <c r="J49" s="35" t="e">
        <f t="shared" si="1"/>
        <v>#N/A</v>
      </c>
    </row>
    <row r="50" spans="1:17" ht="14.25" x14ac:dyDescent="0.45">
      <c r="A50" s="34" t="s">
        <v>1048</v>
      </c>
      <c r="B50" s="30">
        <v>1000</v>
      </c>
      <c r="C50" s="31">
        <v>96623</v>
      </c>
    </row>
    <row r="54" spans="1:17" ht="14.25" x14ac:dyDescent="0.45">
      <c r="A54" s="33" t="s">
        <v>1047</v>
      </c>
    </row>
    <row r="55" spans="1:17" ht="14.25" x14ac:dyDescent="0.45">
      <c r="A55" s="36" t="s">
        <v>9</v>
      </c>
    </row>
    <row r="56" spans="1:17" ht="14.25" x14ac:dyDescent="0.45">
      <c r="A56" s="34" t="s">
        <v>1048</v>
      </c>
    </row>
    <row r="58" spans="1:17" ht="14.25" x14ac:dyDescent="0.45">
      <c r="A58" s="21"/>
      <c r="B58" s="22"/>
      <c r="C58" s="23"/>
      <c r="E58" s="33" t="s">
        <v>1042</v>
      </c>
      <c r="F58" s="33" t="s">
        <v>1076</v>
      </c>
      <c r="K58" s="33" t="s">
        <v>1043</v>
      </c>
      <c r="L58" s="33" t="s">
        <v>1076</v>
      </c>
    </row>
    <row r="59" spans="1:17" ht="14.25" x14ac:dyDescent="0.45">
      <c r="A59" s="24"/>
      <c r="B59" s="25"/>
      <c r="C59" s="26"/>
      <c r="E59" s="33" t="s">
        <v>1047</v>
      </c>
      <c r="F59" t="s">
        <v>999</v>
      </c>
      <c r="G59" t="s">
        <v>998</v>
      </c>
      <c r="H59" t="s">
        <v>1048</v>
      </c>
      <c r="K59" s="33" t="s">
        <v>1047</v>
      </c>
      <c r="L59" t="s">
        <v>11</v>
      </c>
      <c r="M59" t="s">
        <v>9</v>
      </c>
      <c r="N59" t="s">
        <v>6</v>
      </c>
      <c r="O59" t="s">
        <v>13</v>
      </c>
      <c r="P59" t="s">
        <v>10</v>
      </c>
      <c r="Q59" t="s">
        <v>1048</v>
      </c>
    </row>
    <row r="60" spans="1:17" ht="14.25" x14ac:dyDescent="0.45">
      <c r="A60" s="24"/>
      <c r="B60" s="25"/>
      <c r="C60" s="26"/>
      <c r="E60" s="34" t="s">
        <v>1002</v>
      </c>
      <c r="F60" s="30">
        <v>144</v>
      </c>
      <c r="G60" s="30">
        <v>132</v>
      </c>
      <c r="H60" s="30">
        <v>276</v>
      </c>
      <c r="K60" s="34" t="s">
        <v>1002</v>
      </c>
    </row>
    <row r="61" spans="1:17" ht="14.25" x14ac:dyDescent="0.45">
      <c r="A61" s="24"/>
      <c r="B61" s="25"/>
      <c r="C61" s="26"/>
      <c r="E61" s="34" t="s">
        <v>1001</v>
      </c>
      <c r="F61" s="30">
        <v>326</v>
      </c>
      <c r="G61" s="30">
        <v>63</v>
      </c>
      <c r="H61" s="30">
        <v>389</v>
      </c>
      <c r="K61" s="38" t="s">
        <v>20</v>
      </c>
      <c r="L61" s="31">
        <v>891</v>
      </c>
      <c r="M61" s="31">
        <v>1332</v>
      </c>
      <c r="N61" s="31">
        <v>1282</v>
      </c>
      <c r="O61" s="31">
        <v>739</v>
      </c>
      <c r="P61" s="31">
        <v>560</v>
      </c>
      <c r="Q61" s="31">
        <v>4804</v>
      </c>
    </row>
    <row r="62" spans="1:17" ht="14.25" x14ac:dyDescent="0.45">
      <c r="A62" s="24"/>
      <c r="B62" s="25"/>
      <c r="C62" s="26"/>
      <c r="E62" s="34" t="s">
        <v>1000</v>
      </c>
      <c r="F62" s="30">
        <v>129</v>
      </c>
      <c r="G62" s="30">
        <v>206</v>
      </c>
      <c r="H62" s="30">
        <v>335</v>
      </c>
      <c r="K62" s="38" t="s">
        <v>12</v>
      </c>
      <c r="L62" s="31">
        <v>1991</v>
      </c>
      <c r="M62" s="31">
        <v>1886</v>
      </c>
      <c r="N62" s="31">
        <v>1206</v>
      </c>
      <c r="O62" s="31">
        <v>884</v>
      </c>
      <c r="P62" s="31">
        <v>1722</v>
      </c>
      <c r="Q62" s="31">
        <v>7689</v>
      </c>
    </row>
    <row r="63" spans="1:17" ht="14.25" x14ac:dyDescent="0.45">
      <c r="A63" s="24"/>
      <c r="B63" s="25"/>
      <c r="C63" s="26"/>
      <c r="E63" s="34" t="s">
        <v>1048</v>
      </c>
      <c r="F63" s="30">
        <v>599</v>
      </c>
      <c r="G63" s="30">
        <v>401</v>
      </c>
      <c r="H63" s="30">
        <v>1000</v>
      </c>
      <c r="K63" s="38" t="s">
        <v>8</v>
      </c>
      <c r="L63" s="31">
        <v>1163</v>
      </c>
      <c r="M63" s="31">
        <v>1180</v>
      </c>
      <c r="N63" s="31">
        <v>1616</v>
      </c>
      <c r="O63" s="31">
        <v>1043</v>
      </c>
      <c r="P63" s="31">
        <v>1747</v>
      </c>
      <c r="Q63" s="31">
        <v>6749</v>
      </c>
    </row>
    <row r="64" spans="1:17" ht="14.25" x14ac:dyDescent="0.45">
      <c r="A64" s="24"/>
      <c r="B64" s="25"/>
      <c r="C64" s="26"/>
      <c r="K64" s="38" t="s">
        <v>16</v>
      </c>
      <c r="L64" s="31">
        <v>1438</v>
      </c>
      <c r="M64" s="31">
        <v>1616</v>
      </c>
      <c r="N64" s="31">
        <v>866</v>
      </c>
      <c r="O64" s="31">
        <v>829</v>
      </c>
      <c r="P64" s="31">
        <v>2070</v>
      </c>
      <c r="Q64" s="31">
        <v>6819</v>
      </c>
    </row>
    <row r="65" spans="1:17" ht="14.25" x14ac:dyDescent="0.45">
      <c r="A65" s="24"/>
      <c r="B65" s="25"/>
      <c r="C65" s="26"/>
      <c r="K65" s="34" t="s">
        <v>1001</v>
      </c>
    </row>
    <row r="66" spans="1:17" ht="14.25" x14ac:dyDescent="0.45">
      <c r="A66" s="24"/>
      <c r="B66" s="25"/>
      <c r="C66" s="26"/>
      <c r="E66" s="33" t="s">
        <v>1047</v>
      </c>
      <c r="F66" t="s">
        <v>1042</v>
      </c>
      <c r="K66" s="38" t="s">
        <v>24</v>
      </c>
      <c r="L66" s="31">
        <v>1233</v>
      </c>
      <c r="M66" s="31">
        <v>223</v>
      </c>
      <c r="N66" s="31">
        <v>1680</v>
      </c>
      <c r="O66" s="31">
        <v>990</v>
      </c>
      <c r="P66" s="31">
        <v>1508</v>
      </c>
      <c r="Q66" s="31">
        <v>5634</v>
      </c>
    </row>
    <row r="67" spans="1:17" ht="14.25" x14ac:dyDescent="0.45">
      <c r="A67" s="24"/>
      <c r="B67" s="25"/>
      <c r="C67" s="26"/>
      <c r="E67" s="34">
        <v>1</v>
      </c>
      <c r="F67" s="30">
        <v>3</v>
      </c>
      <c r="K67" s="38" t="s">
        <v>15</v>
      </c>
      <c r="L67" s="31">
        <v>1598</v>
      </c>
      <c r="M67" s="31">
        <v>1907</v>
      </c>
      <c r="N67" s="31">
        <v>869</v>
      </c>
      <c r="O67" s="31">
        <v>1426</v>
      </c>
      <c r="P67" s="31">
        <v>1416</v>
      </c>
      <c r="Q67" s="31">
        <v>7216</v>
      </c>
    </row>
    <row r="68" spans="1:17" ht="14.25" x14ac:dyDescent="0.45">
      <c r="A68" s="24"/>
      <c r="B68" s="25"/>
      <c r="C68" s="26"/>
      <c r="E68" s="34">
        <v>2</v>
      </c>
      <c r="F68" s="30">
        <v>19</v>
      </c>
      <c r="K68" s="38" t="s">
        <v>5</v>
      </c>
      <c r="L68" s="31">
        <v>900</v>
      </c>
      <c r="M68" s="31">
        <v>1016</v>
      </c>
      <c r="N68" s="31">
        <v>960</v>
      </c>
      <c r="O68" s="31">
        <v>940</v>
      </c>
      <c r="P68" s="31">
        <v>1193</v>
      </c>
      <c r="Q68" s="31">
        <v>5009</v>
      </c>
    </row>
    <row r="69" spans="1:17" ht="14.25" x14ac:dyDescent="0.45">
      <c r="A69" s="24"/>
      <c r="B69" s="25"/>
      <c r="C69" s="26"/>
      <c r="E69" s="34">
        <v>3</v>
      </c>
      <c r="F69" s="30">
        <v>35</v>
      </c>
      <c r="K69" s="38" t="s">
        <v>18</v>
      </c>
      <c r="L69" s="31">
        <v>900</v>
      </c>
      <c r="M69" s="31">
        <v>1470</v>
      </c>
      <c r="N69" s="31">
        <v>1617</v>
      </c>
      <c r="O69" s="31">
        <v>1314</v>
      </c>
      <c r="P69" s="31">
        <v>941</v>
      </c>
      <c r="Q69" s="31">
        <v>6242</v>
      </c>
    </row>
    <row r="70" spans="1:17" ht="14.25" x14ac:dyDescent="0.45">
      <c r="A70" s="24"/>
      <c r="B70" s="25"/>
      <c r="C70" s="26"/>
      <c r="E70" s="34">
        <v>4</v>
      </c>
      <c r="F70" s="30">
        <v>87</v>
      </c>
      <c r="K70" s="38" t="s">
        <v>14</v>
      </c>
      <c r="L70" s="31">
        <v>1255</v>
      </c>
      <c r="M70" s="31">
        <v>516</v>
      </c>
      <c r="N70" s="31">
        <v>1874</v>
      </c>
      <c r="O70" s="31">
        <v>1863</v>
      </c>
      <c r="P70" s="31">
        <v>1722</v>
      </c>
      <c r="Q70" s="31">
        <v>7230</v>
      </c>
    </row>
    <row r="71" spans="1:17" ht="14.25" x14ac:dyDescent="0.45">
      <c r="A71" s="24"/>
      <c r="B71" s="25"/>
      <c r="C71" s="26"/>
      <c r="E71" s="34">
        <v>5</v>
      </c>
      <c r="F71" s="30">
        <v>74</v>
      </c>
      <c r="K71" s="38" t="s">
        <v>19</v>
      </c>
      <c r="L71" s="31">
        <v>1138</v>
      </c>
      <c r="M71" s="31">
        <v>1898</v>
      </c>
      <c r="N71" s="31">
        <v>1482</v>
      </c>
      <c r="O71" s="31">
        <v>846</v>
      </c>
      <c r="P71" s="31">
        <v>1154</v>
      </c>
      <c r="Q71" s="31">
        <v>6518</v>
      </c>
    </row>
    <row r="72" spans="1:17" ht="14.25" x14ac:dyDescent="0.45">
      <c r="A72" s="24"/>
      <c r="B72" s="25"/>
      <c r="C72" s="26"/>
      <c r="E72" s="34" t="s">
        <v>1048</v>
      </c>
      <c r="F72" s="30">
        <v>218</v>
      </c>
      <c r="K72" s="34" t="s">
        <v>1000</v>
      </c>
    </row>
    <row r="73" spans="1:17" ht="14.25" x14ac:dyDescent="0.45">
      <c r="A73" s="24"/>
      <c r="B73" s="25"/>
      <c r="C73" s="26"/>
      <c r="K73" s="38" t="s">
        <v>17</v>
      </c>
      <c r="L73" s="31">
        <v>1655</v>
      </c>
      <c r="M73" s="31">
        <v>805</v>
      </c>
      <c r="N73" s="31">
        <v>2263</v>
      </c>
      <c r="O73" s="31">
        <v>987</v>
      </c>
      <c r="P73" s="31">
        <v>1075</v>
      </c>
      <c r="Q73" s="31">
        <v>6785</v>
      </c>
    </row>
    <row r="74" spans="1:17" ht="14.25" x14ac:dyDescent="0.45">
      <c r="A74" s="24"/>
      <c r="B74" s="25"/>
      <c r="C74" s="26"/>
      <c r="K74" s="38" t="s">
        <v>23</v>
      </c>
      <c r="L74" s="31">
        <v>1104</v>
      </c>
      <c r="M74" s="31">
        <v>2280</v>
      </c>
      <c r="N74" s="31">
        <v>1445</v>
      </c>
      <c r="O74" s="31">
        <v>1722</v>
      </c>
      <c r="P74" s="31">
        <v>1196</v>
      </c>
      <c r="Q74" s="31">
        <v>7747</v>
      </c>
    </row>
    <row r="75" spans="1:17" ht="14.25" x14ac:dyDescent="0.45">
      <c r="A75" s="27"/>
      <c r="B75" s="28"/>
      <c r="C75" s="29"/>
      <c r="K75" s="38" t="s">
        <v>7</v>
      </c>
      <c r="L75" s="31">
        <v>372</v>
      </c>
      <c r="M75" s="31">
        <v>1818</v>
      </c>
      <c r="N75" s="31">
        <v>1346</v>
      </c>
      <c r="O75" s="31">
        <v>1156</v>
      </c>
      <c r="P75" s="31">
        <v>1484</v>
      </c>
      <c r="Q75" s="31">
        <v>6176</v>
      </c>
    </row>
    <row r="76" spans="1:17" ht="14.25" x14ac:dyDescent="0.45">
      <c r="K76" s="38" t="s">
        <v>22</v>
      </c>
      <c r="L76" s="31">
        <v>1415</v>
      </c>
      <c r="M76" s="31">
        <v>1271</v>
      </c>
      <c r="N76" s="31">
        <v>1214</v>
      </c>
      <c r="O76" s="31">
        <v>1135</v>
      </c>
      <c r="P76" s="31">
        <v>1566</v>
      </c>
      <c r="Q76" s="31">
        <v>6601</v>
      </c>
    </row>
    <row r="77" spans="1:17" ht="14.25" x14ac:dyDescent="0.45">
      <c r="K77" s="38" t="s">
        <v>21</v>
      </c>
      <c r="L77" s="31">
        <v>1362</v>
      </c>
      <c r="M77" s="31">
        <v>1363</v>
      </c>
      <c r="N77" s="31">
        <v>1152</v>
      </c>
      <c r="O77" s="31">
        <v>777</v>
      </c>
      <c r="P77" s="31">
        <v>750</v>
      </c>
      <c r="Q77" s="31">
        <v>5404</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E20" sqref="E20"/>
    </sheetView>
  </sheetViews>
  <sheetFormatPr baseColWidth="10" defaultColWidth="8.83203125" defaultRowHeight="15" x14ac:dyDescent="0.2"/>
  <cols>
    <col min="5" max="5" width="10.83203125" customWidth="1"/>
    <col min="6" max="6" width="9.83203125" customWidth="1"/>
  </cols>
  <sheetData>
    <row r="2" spans="5:6" x14ac:dyDescent="0.2">
      <c r="E2" t="s">
        <v>1040</v>
      </c>
      <c r="F2" t="s">
        <v>1041</v>
      </c>
    </row>
    <row r="3" spans="5:6" ht="25.5" customHeight="1" x14ac:dyDescent="0.2">
      <c r="E3" t="s">
        <v>11</v>
      </c>
      <c r="F3" t="e" vm="2">
        <v>#VALUE!</v>
      </c>
    </row>
    <row r="4" spans="5:6" ht="25.5" customHeight="1" x14ac:dyDescent="0.2">
      <c r="E4" t="s">
        <v>9</v>
      </c>
      <c r="F4" t="e" vm="3">
        <v>#VALUE!</v>
      </c>
    </row>
    <row r="5" spans="5:6" ht="25.5" customHeight="1" x14ac:dyDescent="0.2">
      <c r="E5" t="s">
        <v>6</v>
      </c>
      <c r="F5" t="e" vm="4">
        <v>#VALUE!</v>
      </c>
    </row>
    <row r="6" spans="5:6" ht="25.5" customHeight="1" x14ac:dyDescent="0.2">
      <c r="E6" t="s">
        <v>13</v>
      </c>
      <c r="F6" t="e" vm="5">
        <v>#VALUE!</v>
      </c>
    </row>
    <row r="7" spans="5:6" ht="25.5" customHeight="1" x14ac:dyDescent="0.2">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Customer Centre Report</vt:lpstr>
      <vt:lpstr>Data</vt:lpstr>
      <vt:lpstr>pivots</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Pratham Manchanda</cp:lastModifiedBy>
  <dcterms:created xsi:type="dcterms:W3CDTF">2021-03-14T20:21:32Z</dcterms:created>
  <dcterms:modified xsi:type="dcterms:W3CDTF">2026-06-25T16:08:51Z</dcterms:modified>
</cp:coreProperties>
</file>